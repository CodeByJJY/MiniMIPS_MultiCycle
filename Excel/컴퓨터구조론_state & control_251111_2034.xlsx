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y83\Desktop\Patato\INHA\3학년 2학기\컴퓨터구조론\프로젝트\발표 2\컴퓨터구조론 Control Unit_251111_1321\"/>
    </mc:Choice>
  </mc:AlternateContent>
  <xr:revisionPtr revIDLastSave="0" documentId="13_ncr:1_{7FAF2F07-E215-4CDC-B112-4B2909F4B7F1}" xr6:coauthVersionLast="47" xr6:coauthVersionMax="47" xr10:uidLastSave="{00000000-0000-0000-0000-000000000000}"/>
  <bookViews>
    <workbookView xWindow="3816" yWindow="444" windowWidth="23988" windowHeight="15564" xr2:uid="{2BA6FE2C-5A2A-4CEF-A610-4F0557BFFDF7}"/>
  </bookViews>
  <sheets>
    <sheet name="State" sheetId="1" r:id="rId1"/>
    <sheet name="ControlBits" sheetId="2" r:id="rId2"/>
    <sheet name="ControlBits_Tb" sheetId="6" r:id="rId3"/>
    <sheet name="Test" sheetId="7" r:id="rId4"/>
  </sheets>
  <definedNames>
    <definedName name="_xlnm._FilterDatabase" localSheetId="1" hidden="1">ControlBits!$A$1:$AJ$101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1" i="2" l="1"/>
  <c r="AH102" i="2"/>
  <c r="H4" i="1" s="1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H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2" i="2"/>
  <c r="H98" i="7" a="1"/>
  <c r="H98" i="7" s="1"/>
  <c r="AE100" i="2" s="1"/>
  <c r="H99" i="7" a="1"/>
  <c r="H99" i="7" s="1"/>
  <c r="AE101" i="2" s="1"/>
  <c r="H100" i="7" a="1"/>
  <c r="H100" i="7" s="1"/>
  <c r="H101" i="7" a="1"/>
  <c r="H101" i="7" s="1"/>
  <c r="H102" i="7" a="1"/>
  <c r="H102" i="7" s="1"/>
  <c r="H103" i="7" a="1"/>
  <c r="H103" i="7" s="1"/>
  <c r="H104" i="7" a="1"/>
  <c r="H104" i="7" s="1"/>
  <c r="H96" i="7" a="1"/>
  <c r="H96" i="7" s="1"/>
  <c r="AE98" i="2" s="1"/>
  <c r="H97" i="7" a="1"/>
  <c r="H97" i="7" s="1"/>
  <c r="AE99" i="2" s="1"/>
  <c r="H2" i="7" a="1"/>
  <c r="H2" i="7" s="1"/>
  <c r="H3" i="7" a="1"/>
  <c r="H3" i="7" s="1"/>
  <c r="H4" i="7" a="1"/>
  <c r="H4" i="7" s="1"/>
  <c r="H5" i="7" a="1"/>
  <c r="H5" i="7" s="1"/>
  <c r="AE5" i="2" s="1"/>
  <c r="H6" i="7" a="1"/>
  <c r="H6" i="7" s="1"/>
  <c r="H7" i="7" a="1"/>
  <c r="H7" i="7" s="1"/>
  <c r="H8" i="7" a="1"/>
  <c r="H8" i="7" s="1"/>
  <c r="H9" i="7" a="1"/>
  <c r="H9" i="7" s="1"/>
  <c r="H10" i="7" a="1"/>
  <c r="H10" i="7" s="1"/>
  <c r="H11" i="7" a="1"/>
  <c r="H11" i="7" s="1"/>
  <c r="H12" i="7" a="1"/>
  <c r="H12" i="7" s="1"/>
  <c r="H13" i="7" a="1"/>
  <c r="H13" i="7" s="1"/>
  <c r="H14" i="7" a="1"/>
  <c r="H14" i="7" s="1"/>
  <c r="H15" i="7" a="1"/>
  <c r="H15" i="7" s="1"/>
  <c r="H16" i="7" a="1"/>
  <c r="H16" i="7" s="1"/>
  <c r="H17" i="7" a="1"/>
  <c r="H17" i="7" s="1"/>
  <c r="H18" i="7" a="1"/>
  <c r="H18" i="7" s="1"/>
  <c r="H19" i="7" a="1"/>
  <c r="H19" i="7" s="1"/>
  <c r="H20" i="7" a="1"/>
  <c r="H20" i="7" s="1"/>
  <c r="H21" i="7" a="1"/>
  <c r="H21" i="7" s="1"/>
  <c r="H22" i="7" a="1"/>
  <c r="H22" i="7" s="1"/>
  <c r="H23" i="7" a="1"/>
  <c r="H23" i="7" s="1"/>
  <c r="H24" i="7" a="1"/>
  <c r="H24" i="7" s="1"/>
  <c r="H25" i="7" a="1"/>
  <c r="H25" i="7" s="1"/>
  <c r="H26" i="7" a="1"/>
  <c r="H26" i="7" s="1"/>
  <c r="H27" i="7" a="1"/>
  <c r="H27" i="7" s="1"/>
  <c r="H28" i="7" a="1"/>
  <c r="H28" i="7" s="1"/>
  <c r="H29" i="7" a="1"/>
  <c r="H29" i="7" s="1"/>
  <c r="H30" i="7" a="1"/>
  <c r="H30" i="7" s="1"/>
  <c r="H31" i="7" a="1"/>
  <c r="H31" i="7" s="1"/>
  <c r="H32" i="7" a="1"/>
  <c r="H32" i="7" s="1"/>
  <c r="H33" i="7" a="1"/>
  <c r="H33" i="7" s="1"/>
  <c r="H34" i="7" a="1"/>
  <c r="H34" i="7" s="1"/>
  <c r="H35" i="7" a="1"/>
  <c r="H35" i="7" s="1"/>
  <c r="H36" i="7" a="1"/>
  <c r="H36" i="7" s="1"/>
  <c r="H37" i="7" a="1"/>
  <c r="H37" i="7" s="1"/>
  <c r="H38" i="7" a="1"/>
  <c r="H38" i="7" s="1"/>
  <c r="H39" i="7" a="1"/>
  <c r="H39" i="7" s="1"/>
  <c r="H40" i="7" a="1"/>
  <c r="H40" i="7" s="1"/>
  <c r="H41" i="7" a="1"/>
  <c r="H41" i="7" s="1"/>
  <c r="H42" i="7" a="1"/>
  <c r="H42" i="7" s="1"/>
  <c r="H43" i="7" a="1"/>
  <c r="H43" i="7" s="1"/>
  <c r="H44" i="7" a="1"/>
  <c r="H44" i="7" s="1"/>
  <c r="H45" i="7" a="1"/>
  <c r="H45" i="7" s="1"/>
  <c r="H46" i="7" a="1"/>
  <c r="H46" i="7" s="1"/>
  <c r="H47" i="7" a="1"/>
  <c r="H47" i="7" s="1"/>
  <c r="H48" i="7" a="1"/>
  <c r="H48" i="7" s="1"/>
  <c r="AE50" i="2" s="1"/>
  <c r="H49" i="7" a="1"/>
  <c r="H49" i="7" s="1"/>
  <c r="H50" i="7" a="1"/>
  <c r="H50" i="7" s="1"/>
  <c r="H51" i="7" a="1"/>
  <c r="H51" i="7" s="1"/>
  <c r="H52" i="7" a="1"/>
  <c r="H52" i="7" s="1"/>
  <c r="H53" i="7" a="1"/>
  <c r="H53" i="7" s="1"/>
  <c r="AE55" i="2" s="1"/>
  <c r="H54" i="7" a="1"/>
  <c r="H54" i="7" s="1"/>
  <c r="AE56" i="2" s="1"/>
  <c r="H55" i="7" a="1"/>
  <c r="H55" i="7" s="1"/>
  <c r="H56" i="7" a="1"/>
  <c r="H56" i="7" s="1"/>
  <c r="H57" i="7" a="1"/>
  <c r="H57" i="7" s="1"/>
  <c r="H58" i="7" a="1"/>
  <c r="H58" i="7" s="1"/>
  <c r="H59" i="7" a="1"/>
  <c r="H59" i="7" s="1"/>
  <c r="H60" i="7" a="1"/>
  <c r="H60" i="7" s="1"/>
  <c r="AE62" i="2" s="1"/>
  <c r="H61" i="7" a="1"/>
  <c r="H61" i="7" s="1"/>
  <c r="H62" i="7" a="1"/>
  <c r="H62" i="7" s="1"/>
  <c r="H63" i="7" a="1"/>
  <c r="H63" i="7" s="1"/>
  <c r="H64" i="7" a="1"/>
  <c r="H64" i="7" s="1"/>
  <c r="H65" i="7" a="1"/>
  <c r="H65" i="7" s="1"/>
  <c r="AE67" i="2" s="1"/>
  <c r="H66" i="7" a="1"/>
  <c r="H66" i="7" s="1"/>
  <c r="AE68" i="2" s="1"/>
  <c r="H67" i="7" a="1"/>
  <c r="H67" i="7" s="1"/>
  <c r="H68" i="7" a="1"/>
  <c r="H68" i="7" s="1"/>
  <c r="H69" i="7" a="1"/>
  <c r="H69" i="7" s="1"/>
  <c r="H70" i="7" a="1"/>
  <c r="H70" i="7" s="1"/>
  <c r="H71" i="7" a="1"/>
  <c r="H71" i="7" s="1"/>
  <c r="H72" i="7" a="1"/>
  <c r="H72" i="7" s="1"/>
  <c r="AE74" i="2" s="1"/>
  <c r="H73" i="7" a="1"/>
  <c r="H73" i="7" s="1"/>
  <c r="H74" i="7" a="1"/>
  <c r="H74" i="7" s="1"/>
  <c r="H75" i="7" a="1"/>
  <c r="H75" i="7" s="1"/>
  <c r="H76" i="7" a="1"/>
  <c r="H76" i="7" s="1"/>
  <c r="H77" i="7" a="1"/>
  <c r="H77" i="7" s="1"/>
  <c r="AE79" i="2" s="1"/>
  <c r="H78" i="7" a="1"/>
  <c r="H78" i="7" s="1"/>
  <c r="AE80" i="2" s="1"/>
  <c r="H79" i="7" a="1"/>
  <c r="H79" i="7" s="1"/>
  <c r="H80" i="7" a="1"/>
  <c r="H80" i="7" s="1"/>
  <c r="H81" i="7" a="1"/>
  <c r="H81" i="7" s="1"/>
  <c r="H82" i="7" a="1"/>
  <c r="H82" i="7" s="1"/>
  <c r="H83" i="7" a="1"/>
  <c r="H83" i="7" s="1"/>
  <c r="H84" i="7" a="1"/>
  <c r="H84" i="7" s="1"/>
  <c r="AE86" i="2" s="1"/>
  <c r="H85" i="7" a="1"/>
  <c r="H85" i="7" s="1"/>
  <c r="H86" i="7" a="1"/>
  <c r="H86" i="7" s="1"/>
  <c r="H87" i="7" a="1"/>
  <c r="H87" i="7" s="1"/>
  <c r="H88" i="7" a="1"/>
  <c r="H88" i="7" s="1"/>
  <c r="H89" i="7" a="1"/>
  <c r="H89" i="7" s="1"/>
  <c r="H90" i="7" a="1"/>
  <c r="H90" i="7" s="1"/>
  <c r="AE92" i="2" s="1"/>
  <c r="H91" i="7" a="1"/>
  <c r="H91" i="7" s="1"/>
  <c r="H92" i="7" a="1"/>
  <c r="H92" i="7" s="1"/>
  <c r="H93" i="7" a="1"/>
  <c r="H93" i="7" s="1"/>
  <c r="H94" i="7" a="1"/>
  <c r="H94" i="7" s="1"/>
  <c r="H95" i="7" a="1"/>
  <c r="H95" i="7" s="1"/>
  <c r="I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H2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AE97" i="2" l="1"/>
  <c r="AE87" i="2"/>
  <c r="AE75" i="2"/>
  <c r="AE63" i="2"/>
  <c r="AE51" i="2"/>
  <c r="AE41" i="2"/>
  <c r="AE29" i="2"/>
  <c r="AE17" i="2"/>
  <c r="AF17" i="2" s="1"/>
  <c r="AE96" i="2"/>
  <c r="AF96" i="2" s="1"/>
  <c r="AE83" i="2"/>
  <c r="AE71" i="2"/>
  <c r="AF71" i="2" s="1"/>
  <c r="AE59" i="2"/>
  <c r="AF59" i="2" s="1"/>
  <c r="AE82" i="2"/>
  <c r="AE70" i="2"/>
  <c r="AE58" i="2"/>
  <c r="AE47" i="2"/>
  <c r="AE36" i="2"/>
  <c r="AE24" i="2"/>
  <c r="AF24" i="2" s="1"/>
  <c r="AE12" i="2"/>
  <c r="AF12" i="2" s="1"/>
  <c r="AE95" i="2"/>
  <c r="AF95" i="2" s="1"/>
  <c r="AE45" i="2"/>
  <c r="AF45" i="2" s="1"/>
  <c r="AE33" i="2"/>
  <c r="AF33" i="2" s="1"/>
  <c r="AE21" i="2"/>
  <c r="AF21" i="2" s="1"/>
  <c r="AE9" i="2"/>
  <c r="AF9" i="2" s="1"/>
  <c r="AE91" i="2"/>
  <c r="AE34" i="2"/>
  <c r="AE22" i="2"/>
  <c r="AE10" i="2"/>
  <c r="AE40" i="2"/>
  <c r="AE28" i="2"/>
  <c r="AF28" i="2" s="1"/>
  <c r="AE16" i="2"/>
  <c r="AF16" i="2" s="1"/>
  <c r="AE4" i="2"/>
  <c r="AF4" i="2" s="1"/>
  <c r="AE37" i="2"/>
  <c r="AF37" i="2" s="1"/>
  <c r="AE25" i="2"/>
  <c r="AF25" i="2" s="1"/>
  <c r="AE13" i="2"/>
  <c r="AF13" i="2" s="1"/>
  <c r="AE93" i="2"/>
  <c r="AF93" i="2" s="1"/>
  <c r="AE81" i="2"/>
  <c r="AE69" i="2"/>
  <c r="AF69" i="2" s="1"/>
  <c r="AE57" i="2"/>
  <c r="AE46" i="2"/>
  <c r="AE35" i="2"/>
  <c r="AF35" i="2" s="1"/>
  <c r="AE23" i="2"/>
  <c r="AF23" i="2" s="1"/>
  <c r="AE11" i="2"/>
  <c r="AF11" i="2" s="1"/>
  <c r="AE66" i="2"/>
  <c r="AF66" i="2" s="1"/>
  <c r="AE8" i="2"/>
  <c r="AF8" i="2" s="1"/>
  <c r="AE89" i="2"/>
  <c r="AF89" i="2" s="1"/>
  <c r="AE77" i="2"/>
  <c r="AF77" i="2" s="1"/>
  <c r="AE65" i="2"/>
  <c r="AF65" i="2" s="1"/>
  <c r="AE53" i="2"/>
  <c r="AF53" i="2" s="1"/>
  <c r="AE43" i="2"/>
  <c r="AE31" i="2"/>
  <c r="AE19" i="2"/>
  <c r="AF19" i="2" s="1"/>
  <c r="AE7" i="2"/>
  <c r="AE54" i="2"/>
  <c r="AF54" i="2" s="1"/>
  <c r="AE20" i="2"/>
  <c r="AF20" i="2" s="1"/>
  <c r="AE88" i="2"/>
  <c r="AF88" i="2" s="1"/>
  <c r="AE76" i="2"/>
  <c r="AF76" i="2" s="1"/>
  <c r="AE64" i="2"/>
  <c r="AF64" i="2" s="1"/>
  <c r="AE52" i="2"/>
  <c r="AF52" i="2" s="1"/>
  <c r="AE42" i="2"/>
  <c r="AF42" i="2" s="1"/>
  <c r="AE30" i="2"/>
  <c r="AF30" i="2" s="1"/>
  <c r="AE18" i="2"/>
  <c r="AF18" i="2" s="1"/>
  <c r="AE6" i="2"/>
  <c r="AE78" i="2"/>
  <c r="AF78" i="2" s="1"/>
  <c r="AE44" i="2"/>
  <c r="AF44" i="2" s="1"/>
  <c r="AE32" i="2"/>
  <c r="AF32" i="2" s="1"/>
  <c r="AE85" i="2"/>
  <c r="AF85" i="2" s="1"/>
  <c r="AE73" i="2"/>
  <c r="AF73" i="2" s="1"/>
  <c r="AE61" i="2"/>
  <c r="AF61" i="2" s="1"/>
  <c r="AE49" i="2"/>
  <c r="AF49" i="2" s="1"/>
  <c r="AE39" i="2"/>
  <c r="AF39" i="2" s="1"/>
  <c r="AE27" i="2"/>
  <c r="AF27" i="2" s="1"/>
  <c r="AE15" i="2"/>
  <c r="AE3" i="2"/>
  <c r="AF3" i="2" s="1"/>
  <c r="AE90" i="2"/>
  <c r="AE84" i="2"/>
  <c r="AF84" i="2" s="1"/>
  <c r="AE72" i="2"/>
  <c r="AF72" i="2" s="1"/>
  <c r="AE60" i="2"/>
  <c r="AF60" i="2" s="1"/>
  <c r="AE48" i="2"/>
  <c r="AF48" i="2" s="1"/>
  <c r="AE38" i="2"/>
  <c r="AF38" i="2" s="1"/>
  <c r="AE26" i="2"/>
  <c r="AF26" i="2" s="1"/>
  <c r="AE14" i="2"/>
  <c r="AF14" i="2" s="1"/>
  <c r="AE2" i="2"/>
  <c r="AF2" i="2" s="1"/>
  <c r="AE94" i="2"/>
  <c r="AF94" i="2" s="1"/>
  <c r="AF101" i="2"/>
  <c r="AF10" i="2"/>
  <c r="AF22" i="2"/>
  <c r="AF34" i="2"/>
  <c r="AF56" i="2"/>
  <c r="AF68" i="2"/>
  <c r="AF80" i="2"/>
  <c r="AF92" i="2"/>
  <c r="AF46" i="2"/>
  <c r="AF57" i="2"/>
  <c r="AF81" i="2"/>
  <c r="AF36" i="2"/>
  <c r="AF82" i="2"/>
  <c r="AF6" i="2"/>
  <c r="AF7" i="2"/>
  <c r="AF31" i="2"/>
  <c r="AF43" i="2"/>
  <c r="AF90" i="2"/>
  <c r="AF55" i="2"/>
  <c r="AF67" i="2"/>
  <c r="AF79" i="2"/>
  <c r="AF91" i="2"/>
  <c r="AF15" i="2"/>
  <c r="AF98" i="2"/>
  <c r="AF58" i="2"/>
  <c r="AF5" i="2"/>
  <c r="AF99" i="2"/>
  <c r="AF47" i="2"/>
  <c r="AF70" i="2"/>
  <c r="AF83" i="2"/>
  <c r="AF40" i="2"/>
  <c r="AF50" i="2"/>
  <c r="AF62" i="2"/>
  <c r="AF74" i="2"/>
  <c r="AF86" i="2"/>
  <c r="AF29" i="2"/>
  <c r="AF41" i="2"/>
  <c r="AF51" i="2"/>
  <c r="AF63" i="2"/>
  <c r="AF75" i="2"/>
  <c r="AF87" i="2"/>
  <c r="AF100" i="2"/>
  <c r="AF9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63365-D54A-4ECB-B5EC-3AEF7B43342B}" keepAlive="1" name="쿼리 - 표1" description="통합 문서의 '표1' 쿼리에 대한 연결입니다." type="5" refreshedVersion="0" background="1">
    <dbPr connection="Provider=Microsoft.Mashup.OleDb.1;Data Source=$Workbook$;Location=표1;Extended Properties=&quot;&quot;" command="SELECT * FROM [표1]"/>
  </connection>
  <connection id="2" xr16:uid="{55F66D08-93C8-49E8-A960-949B0EFEC163}" keepAlive="1" name="쿼리 - 표2" description="통합 문서의 '표2' 쿼리에 대한 연결입니다." type="5" refreshedVersion="0" background="1">
    <dbPr connection="Provider=Microsoft.Mashup.OleDb.1;Data Source=$Workbook$;Location=표2;Extended Properties=&quot;&quot;" command="SELECT * FROM [표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<sst xmlns="http://schemas.openxmlformats.org/spreadsheetml/2006/main" count="833" uniqueCount="294">
  <si>
    <t>현재 State</t>
  </si>
  <si>
    <t>조건(op/fn)</t>
  </si>
  <si>
    <t>다음 State</t>
  </si>
  <si>
    <t>비고</t>
  </si>
  <si>
    <t>S0</t>
  </si>
  <si>
    <t>S1</t>
  </si>
  <si>
    <t>S7</t>
  </si>
  <si>
    <t>LW</t>
  </si>
  <si>
    <t>S2</t>
  </si>
  <si>
    <t>SW</t>
  </si>
  <si>
    <t>S5</t>
  </si>
  <si>
    <t>S10</t>
  </si>
  <si>
    <t>S3</t>
  </si>
  <si>
    <t>S6</t>
  </si>
  <si>
    <t>S4</t>
  </si>
  <si>
    <t>Store 완료</t>
  </si>
  <si>
    <t>S9</t>
  </si>
  <si>
    <t>S8</t>
  </si>
  <si>
    <t>S11</t>
  </si>
  <si>
    <t>S12</t>
  </si>
  <si>
    <t>최종 저장 후 복귀</t>
  </si>
  <si>
    <t>DXOR</t>
  </si>
  <si>
    <t>DXOR</t>
    <phoneticPr fontId="5" type="noConversion"/>
  </si>
  <si>
    <t>항상</t>
    <phoneticPr fontId="5" type="noConversion"/>
  </si>
  <si>
    <r>
      <t xml:space="preserve">직전이 </t>
    </r>
    <r>
      <rPr>
        <sz val="10"/>
        <color theme="1"/>
        <rFont val="Arial Unicode MS"/>
        <family val="2"/>
      </rPr>
      <t>LW</t>
    </r>
    <phoneticPr fontId="5" type="noConversion"/>
  </si>
  <si>
    <r>
      <t xml:space="preserve">직전이 </t>
    </r>
    <r>
      <rPr>
        <sz val="10"/>
        <color theme="1"/>
        <rFont val="Arial Unicode MS"/>
        <family val="2"/>
      </rPr>
      <t>SW</t>
    </r>
    <phoneticPr fontId="5" type="noConversion"/>
  </si>
  <si>
    <t>Fetch</t>
    <phoneticPr fontId="5" type="noConversion"/>
  </si>
  <si>
    <t>R</t>
  </si>
  <si>
    <t>Decode : LW</t>
    <phoneticPr fontId="5" type="noConversion"/>
  </si>
  <si>
    <t>Decode : SW</t>
    <phoneticPr fontId="5" type="noConversion"/>
  </si>
  <si>
    <t>Decode : DXOR</t>
    <phoneticPr fontId="5" type="noConversion"/>
  </si>
  <si>
    <t>번호</t>
    <phoneticPr fontId="5" type="noConversion"/>
  </si>
  <si>
    <t>SLRXOR 1차 연산 완료</t>
    <phoneticPr fontId="5" type="noConversion"/>
  </si>
  <si>
    <t>SLRXOR 2차 연산 완료</t>
    <phoneticPr fontId="5" type="noConversion"/>
  </si>
  <si>
    <t>DXOR 1차 연산 완료</t>
    <phoneticPr fontId="5" type="noConversion"/>
  </si>
  <si>
    <t>DXOR 1차 연산 저장 및 DXOR 2차 연산</t>
    <phoneticPr fontId="5" type="noConversion"/>
  </si>
  <si>
    <t>LW 1</t>
    <phoneticPr fontId="5" type="noConversion"/>
  </si>
  <si>
    <t>SW 1</t>
    <phoneticPr fontId="5" type="noConversion"/>
  </si>
  <si>
    <t>LW 2</t>
    <phoneticPr fontId="5" type="noConversion"/>
  </si>
  <si>
    <t>LW 3</t>
    <phoneticPr fontId="5" type="noConversion"/>
  </si>
  <si>
    <t>SW 2</t>
    <phoneticPr fontId="5" type="noConversion"/>
  </si>
  <si>
    <t>SLRXOR 1</t>
    <phoneticPr fontId="5" type="noConversion"/>
  </si>
  <si>
    <t>SLRXOR 2</t>
    <phoneticPr fontId="5" type="noConversion"/>
  </si>
  <si>
    <t>DXOR 1</t>
    <phoneticPr fontId="5" type="noConversion"/>
  </si>
  <si>
    <t>DXOR 2</t>
    <phoneticPr fontId="5" type="noConversion"/>
  </si>
  <si>
    <t>DXOR 3</t>
    <phoneticPr fontId="5" type="noConversion"/>
  </si>
  <si>
    <t>WB</t>
    <phoneticPr fontId="5" type="noConversion"/>
  </si>
  <si>
    <t>Load 할 주소 계산</t>
    <phoneticPr fontId="5" type="noConversion"/>
  </si>
  <si>
    <t>메모리 엑세스</t>
    <phoneticPr fontId="5" type="noConversion"/>
  </si>
  <si>
    <t>Store 할 주소 계산</t>
    <phoneticPr fontId="5" type="noConversion"/>
  </si>
  <si>
    <t>Fetch → Decode &amp; PC+4</t>
    <phoneticPr fontId="5" type="noConversion"/>
  </si>
  <si>
    <t>Decode &amp; Branch 예측 계산</t>
    <phoneticPr fontId="5" type="noConversion"/>
  </si>
  <si>
    <t>Instr</t>
  </si>
  <si>
    <t>Type</t>
  </si>
  <si>
    <t>opcode[5:0]</t>
  </si>
  <si>
    <t>funct[5:0]</t>
  </si>
  <si>
    <t>SLXOR</t>
  </si>
  <si>
    <t>SRXOR</t>
  </si>
  <si>
    <t>I</t>
  </si>
  <si>
    <t>——</t>
  </si>
  <si>
    <t>ANDI</t>
  </si>
  <si>
    <t>ORI</t>
  </si>
  <si>
    <t>XORI</t>
  </si>
  <si>
    <t>BEQ</t>
  </si>
  <si>
    <t>BNE</t>
  </si>
  <si>
    <t>J</t>
  </si>
  <si>
    <t>000000</t>
    <phoneticPr fontId="5" type="noConversion"/>
  </si>
  <si>
    <t>001000</t>
    <phoneticPr fontId="5" type="noConversion"/>
  </si>
  <si>
    <t>001100</t>
    <phoneticPr fontId="5" type="noConversion"/>
  </si>
  <si>
    <t>001101</t>
    <phoneticPr fontId="5" type="noConversion"/>
  </si>
  <si>
    <t>001110</t>
    <phoneticPr fontId="5" type="noConversion"/>
  </si>
  <si>
    <t>100011</t>
    <phoneticPr fontId="5" type="noConversion"/>
  </si>
  <si>
    <t>000100</t>
    <phoneticPr fontId="5" type="noConversion"/>
  </si>
  <si>
    <t>000101</t>
    <phoneticPr fontId="5" type="noConversion"/>
  </si>
  <si>
    <t>000010</t>
    <phoneticPr fontId="5" type="noConversion"/>
  </si>
  <si>
    <t>000011</t>
    <phoneticPr fontId="5" type="noConversion"/>
  </si>
  <si>
    <t>NOR</t>
    <phoneticPr fontId="5" type="noConversion"/>
  </si>
  <si>
    <t>100111</t>
    <phoneticPr fontId="5" type="noConversion"/>
  </si>
  <si>
    <t>Rotate</t>
    <phoneticPr fontId="5" type="noConversion"/>
  </si>
  <si>
    <t>SLL</t>
    <phoneticPr fontId="5" type="noConversion"/>
  </si>
  <si>
    <t>SRA</t>
    <phoneticPr fontId="5" type="noConversion"/>
  </si>
  <si>
    <t>Shift Left Logical</t>
    <phoneticPr fontId="5" type="noConversion"/>
  </si>
  <si>
    <t>Shift Right Logical</t>
    <phoneticPr fontId="5" type="noConversion"/>
  </si>
  <si>
    <t>Shift Right Arith</t>
    <phoneticPr fontId="5" type="noConversion"/>
  </si>
  <si>
    <t>기존이랑 다름</t>
    <phoneticPr fontId="5" type="noConversion"/>
  </si>
  <si>
    <t>JR</t>
    <phoneticPr fontId="5" type="noConversion"/>
  </si>
  <si>
    <t>SYSCALL</t>
    <phoneticPr fontId="5" type="noConversion"/>
  </si>
  <si>
    <t>I</t>
    <phoneticPr fontId="5" type="noConversion"/>
  </si>
  <si>
    <t>——</t>
    <phoneticPr fontId="5" type="noConversion"/>
  </si>
  <si>
    <r>
      <t xml:space="preserve">ALU-type </t>
    </r>
    <r>
      <rPr>
        <sz val="10"/>
        <color theme="1"/>
        <rFont val="맑은 고딕"/>
        <family val="3"/>
        <charset val="129"/>
      </rPr>
      <t>일반</t>
    </r>
    <phoneticPr fontId="5" type="noConversion"/>
  </si>
  <si>
    <t>Decode : ALU-type</t>
    <phoneticPr fontId="5" type="noConversion"/>
  </si>
  <si>
    <t>ALU-type 1</t>
    <phoneticPr fontId="5" type="noConversion"/>
  </si>
  <si>
    <t>ALU-type 2, SLRXOR 3</t>
    <phoneticPr fontId="5" type="noConversion"/>
  </si>
  <si>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외</t>
    </r>
    <r>
      <rPr>
        <sz val="10"/>
        <color theme="1"/>
        <rFont val="Arial"/>
        <family val="2"/>
      </rPr>
      <t xml:space="preserve"> ALU-type</t>
    </r>
    <phoneticPr fontId="5" type="noConversion"/>
  </si>
  <si>
    <t>비고 2</t>
    <phoneticPr fontId="5" type="noConversion"/>
  </si>
  <si>
    <t>상세</t>
    <phoneticPr fontId="5" type="noConversion"/>
  </si>
  <si>
    <t>Branch</t>
    <phoneticPr fontId="5" type="noConversion"/>
  </si>
  <si>
    <t>Jump</t>
    <phoneticPr fontId="5" type="noConversion"/>
  </si>
  <si>
    <t>점앤링</t>
    <phoneticPr fontId="5" type="noConversion"/>
  </si>
  <si>
    <t>state</t>
    <phoneticPr fontId="5" type="noConversion"/>
  </si>
  <si>
    <t>JumpAddr</t>
    <phoneticPr fontId="5" type="noConversion"/>
  </si>
  <si>
    <t>PCWrite</t>
    <phoneticPr fontId="5" type="noConversion"/>
  </si>
  <si>
    <t>Inst’Data</t>
    <phoneticPr fontId="5" type="noConversion"/>
  </si>
  <si>
    <t>MemRead</t>
    <phoneticPr fontId="5" type="noConversion"/>
  </si>
  <si>
    <t>IRWrite</t>
    <phoneticPr fontId="5" type="noConversion"/>
  </si>
  <si>
    <t>MemWrite</t>
    <phoneticPr fontId="5" type="noConversion"/>
  </si>
  <si>
    <t>RegWrite</t>
    <phoneticPr fontId="5" type="noConversion"/>
  </si>
  <si>
    <t>RegInSrc</t>
    <phoneticPr fontId="5" type="noConversion"/>
  </si>
  <si>
    <t>PCSrc0</t>
    <phoneticPr fontId="5" type="noConversion"/>
  </si>
  <si>
    <t>PCSrc1</t>
    <phoneticPr fontId="5" type="noConversion"/>
  </si>
  <si>
    <t>RegDst0</t>
    <phoneticPr fontId="5" type="noConversion"/>
  </si>
  <si>
    <t>RegDst1</t>
    <phoneticPr fontId="5" type="noConversion"/>
  </si>
  <si>
    <t>DRegSel1</t>
    <phoneticPr fontId="5" type="noConversion"/>
  </si>
  <si>
    <t>DRegSel0</t>
    <phoneticPr fontId="5" type="noConversion"/>
  </si>
  <si>
    <t>ALUSrcX1</t>
    <phoneticPr fontId="5" type="noConversion"/>
  </si>
  <si>
    <t>ALUSrcY1</t>
    <phoneticPr fontId="5" type="noConversion"/>
  </si>
  <si>
    <t>ALUSrcY0</t>
    <phoneticPr fontId="5" type="noConversion"/>
  </si>
  <si>
    <t>ALUSrcX0</t>
    <phoneticPr fontId="5" type="noConversion"/>
  </si>
  <si>
    <t>FnType1</t>
    <phoneticPr fontId="5" type="noConversion"/>
  </si>
  <si>
    <t>FnType0</t>
    <phoneticPr fontId="5" type="noConversion"/>
  </si>
  <si>
    <t>0</t>
    <phoneticPr fontId="5" type="noConversion"/>
  </si>
  <si>
    <t>1</t>
    <phoneticPr fontId="5" type="noConversion"/>
  </si>
  <si>
    <t>ADD</t>
    <phoneticPr fontId="5" type="noConversion"/>
  </si>
  <si>
    <t>R</t>
    <phoneticPr fontId="5" type="noConversion"/>
  </si>
  <si>
    <t>SUB</t>
    <phoneticPr fontId="5" type="noConversion"/>
  </si>
  <si>
    <t>AND</t>
    <phoneticPr fontId="5" type="noConversion"/>
  </si>
  <si>
    <t>OR</t>
    <phoneticPr fontId="5" type="noConversion"/>
  </si>
  <si>
    <t>XOR</t>
    <phoneticPr fontId="5" type="noConversion"/>
  </si>
  <si>
    <t>SRL</t>
    <phoneticPr fontId="5" type="noConversion"/>
  </si>
  <si>
    <t>ADDI</t>
    <phoneticPr fontId="5" type="noConversion"/>
  </si>
  <si>
    <t>ANDI</t>
    <phoneticPr fontId="5" type="noConversion"/>
  </si>
  <si>
    <t>ORI</t>
    <phoneticPr fontId="5" type="noConversion"/>
  </si>
  <si>
    <t>XORI</t>
    <phoneticPr fontId="5" type="noConversion"/>
  </si>
  <si>
    <t>LW</t>
    <phoneticPr fontId="5" type="noConversion"/>
  </si>
  <si>
    <t>SW</t>
    <phoneticPr fontId="5" type="noConversion"/>
  </si>
  <si>
    <t>비고1</t>
    <phoneticPr fontId="5" type="noConversion"/>
  </si>
  <si>
    <t>비고2</t>
    <phoneticPr fontId="5" type="noConversion"/>
  </si>
  <si>
    <t>Decode</t>
    <phoneticPr fontId="5" type="noConversion"/>
  </si>
  <si>
    <t>+</t>
    <phoneticPr fontId="5" type="noConversion"/>
  </si>
  <si>
    <t>로직</t>
    <phoneticPr fontId="5" type="noConversion"/>
  </si>
  <si>
    <t>NOR</t>
  </si>
  <si>
    <t>ROT</t>
    <phoneticPr fontId="5" type="noConversion"/>
  </si>
  <si>
    <t>SUBI</t>
    <phoneticPr fontId="5" type="noConversion"/>
  </si>
  <si>
    <t>NORI</t>
    <phoneticPr fontId="5" type="noConversion"/>
  </si>
  <si>
    <t>SLXOR</t>
    <phoneticPr fontId="5" type="noConversion"/>
  </si>
  <si>
    <t>SRXOR</t>
    <phoneticPr fontId="5" type="noConversion"/>
  </si>
  <si>
    <t>DXOR1</t>
    <phoneticPr fontId="5" type="noConversion"/>
  </si>
  <si>
    <t>DXOR2</t>
    <phoneticPr fontId="5" type="noConversion"/>
  </si>
  <si>
    <t>J</t>
    <phoneticPr fontId="5" type="noConversion"/>
  </si>
  <si>
    <t>JAL</t>
    <phoneticPr fontId="5" type="noConversion"/>
  </si>
  <si>
    <t>BNE</t>
    <phoneticPr fontId="5" type="noConversion"/>
  </si>
  <si>
    <t>BEQ</t>
    <phoneticPr fontId="5" type="noConversion"/>
  </si>
  <si>
    <t>I-type ADD</t>
    <phoneticPr fontId="5" type="noConversion"/>
  </si>
  <si>
    <t>Memory Access</t>
    <phoneticPr fontId="5" type="noConversion"/>
  </si>
  <si>
    <t>2차 WB</t>
    <phoneticPr fontId="5" type="noConversion"/>
  </si>
  <si>
    <t>1쌍 연산, 2쌍 해독</t>
    <phoneticPr fontId="5" type="noConversion"/>
  </si>
  <si>
    <t>1쌍 WB, 2쌍 연산</t>
    <phoneticPr fontId="5" type="noConversion"/>
  </si>
  <si>
    <t>2차 XOR 연산</t>
    <phoneticPr fontId="5" type="noConversion"/>
  </si>
  <si>
    <t>ALU 연산</t>
    <phoneticPr fontId="5" type="noConversion"/>
  </si>
  <si>
    <t>ALUZero</t>
    <phoneticPr fontId="5" type="noConversion"/>
  </si>
  <si>
    <t>!ALUZero</t>
    <phoneticPr fontId="5" type="noConversion"/>
  </si>
  <si>
    <t>IR</t>
    <phoneticPr fontId="5" type="noConversion"/>
  </si>
  <si>
    <t>DXOR3</t>
    <phoneticPr fontId="5" type="noConversion"/>
  </si>
  <si>
    <t>LW1</t>
    <phoneticPr fontId="5" type="noConversion"/>
  </si>
  <si>
    <t>LW2</t>
    <phoneticPr fontId="5" type="noConversion"/>
  </si>
  <si>
    <t>LW3</t>
    <phoneticPr fontId="5" type="noConversion"/>
  </si>
  <si>
    <t>SW1</t>
    <phoneticPr fontId="5" type="noConversion"/>
  </si>
  <si>
    <t>SW2</t>
    <phoneticPr fontId="5" type="noConversion"/>
  </si>
  <si>
    <t>R-type WB</t>
    <phoneticPr fontId="5" type="noConversion"/>
  </si>
  <si>
    <t>I-type WB</t>
  </si>
  <si>
    <t>I-type WB</t>
    <phoneticPr fontId="5" type="noConversion"/>
  </si>
  <si>
    <t>Rot</t>
    <phoneticPr fontId="5" type="noConversion"/>
  </si>
  <si>
    <t>JR</t>
  </si>
  <si>
    <t>임의 : 101001 = 100(ALU) + 1 / 001</t>
    <phoneticPr fontId="5" type="noConversion"/>
  </si>
  <si>
    <t>001001</t>
    <phoneticPr fontId="5" type="noConversion"/>
  </si>
  <si>
    <t>PC+4 연산</t>
    <phoneticPr fontId="5" type="noConversion"/>
  </si>
  <si>
    <t>시프트</t>
    <phoneticPr fontId="5" type="noConversion"/>
  </si>
  <si>
    <t>비고3</t>
  </si>
  <si>
    <t>O</t>
    <phoneticPr fontId="5" type="noConversion"/>
  </si>
  <si>
    <t>16진수</t>
    <phoneticPr fontId="5" type="noConversion"/>
  </si>
  <si>
    <t>16진수</t>
    <phoneticPr fontId="5" type="noConversion"/>
  </si>
  <si>
    <t>1d4000</t>
    <phoneticPr fontId="5" type="noConversion"/>
  </si>
  <si>
    <t>000030</t>
    <phoneticPr fontId="5" type="noConversion"/>
  </si>
  <si>
    <t>000060</t>
  </si>
  <si>
    <t>000060</t>
    <phoneticPr fontId="5" type="noConversion"/>
  </si>
  <si>
    <t>030000</t>
    <phoneticPr fontId="5" type="noConversion"/>
  </si>
  <si>
    <t>002000</t>
    <phoneticPr fontId="5" type="noConversion"/>
  </si>
  <si>
    <t>000066</t>
  </si>
  <si>
    <t>100056 / 140056</t>
    <phoneticPr fontId="5" type="noConversion"/>
  </si>
  <si>
    <t>028000</t>
    <phoneticPr fontId="5" type="noConversion"/>
  </si>
  <si>
    <t>000050</t>
  </si>
  <si>
    <t>00005d</t>
  </si>
  <si>
    <t>00006a</t>
  </si>
  <si>
    <t>00006e</t>
  </si>
  <si>
    <t>00006d</t>
  </si>
  <si>
    <t>002c00</t>
  </si>
  <si>
    <t>003c00</t>
  </si>
  <si>
    <t>000051</t>
  </si>
  <si>
    <t>000055</t>
  </si>
  <si>
    <t>000059</t>
  </si>
  <si>
    <t>000052</t>
  </si>
  <si>
    <t>000064</t>
  </si>
  <si>
    <t>000061</t>
  </si>
  <si>
    <t>000065</t>
  </si>
  <si>
    <t>000069</t>
  </si>
  <si>
    <t>002400</t>
  </si>
  <si>
    <t>000099</t>
  </si>
  <si>
    <t>000359</t>
  </si>
  <si>
    <t>002459</t>
  </si>
  <si>
    <t>ALUFn1</t>
    <phoneticPr fontId="5" type="noConversion"/>
  </si>
  <si>
    <t>ALUFn0</t>
    <phoneticPr fontId="5" type="noConversion"/>
  </si>
  <si>
    <t>000000</t>
  </si>
  <si>
    <t>0111010100000000000000</t>
  </si>
  <si>
    <t>0000000000000000110000</t>
  </si>
  <si>
    <t>0000000000000001010000</t>
  </si>
  <si>
    <t>0000000010110000000000</t>
  </si>
  <si>
    <t>0000000000000001010001</t>
  </si>
  <si>
    <t>0000000000000001010101</t>
  </si>
  <si>
    <t>0000000000000001011001</t>
  </si>
  <si>
    <t>0000000000000001011101</t>
  </si>
  <si>
    <t>0000000000000001010010</t>
  </si>
  <si>
    <t>000001</t>
  </si>
  <si>
    <t>0000000000000001100110</t>
  </si>
  <si>
    <t>000010</t>
  </si>
  <si>
    <t>0000000000000001101010</t>
  </si>
  <si>
    <t>000011</t>
  </si>
  <si>
    <t>0000000000000001101110</t>
  </si>
  <si>
    <t>001000</t>
  </si>
  <si>
    <t>001100</t>
  </si>
  <si>
    <t>0000000000000010011001</t>
  </si>
  <si>
    <t>0000000000001101011001</t>
  </si>
  <si>
    <t>0000000010010001011001</t>
  </si>
  <si>
    <t>0000000011110000000000</t>
  </si>
  <si>
    <t>0000000000000001100000</t>
  </si>
  <si>
    <t>0000000010010000000000</t>
  </si>
  <si>
    <t>001001</t>
  </si>
  <si>
    <t>0000000000000001100100</t>
  </si>
  <si>
    <t>0000000000000001100001</t>
  </si>
  <si>
    <t>001101</t>
  </si>
  <si>
    <t>0000000000000001100101</t>
  </si>
  <si>
    <t>001110</t>
  </si>
  <si>
    <t>0000000000000001101001</t>
  </si>
  <si>
    <t>0000110000000000000000</t>
  </si>
  <si>
    <t>0000000010000000000000</t>
  </si>
  <si>
    <t>0000101000000000000000</t>
  </si>
  <si>
    <t>000100</t>
  </si>
  <si>
    <t>000101</t>
  </si>
  <si>
    <t>16진수test</t>
    <phoneticPr fontId="5" type="noConversion"/>
  </si>
  <si>
    <t>결과</t>
    <phoneticPr fontId="5" type="noConversion"/>
  </si>
  <si>
    <t>임의 : 101000 = 100(ALU) + 1 / 001</t>
    <phoneticPr fontId="5" type="noConversion"/>
  </si>
  <si>
    <t xml:space="preserve"> 10010 = 100(ALU) + 2 / 010 = XOR</t>
    <phoneticPr fontId="5" type="noConversion"/>
  </si>
  <si>
    <t>JALDecode</t>
    <phoneticPr fontId="5" type="noConversion"/>
  </si>
  <si>
    <t>JDecode</t>
    <phoneticPr fontId="5" type="noConversion"/>
  </si>
  <si>
    <t>SYSCALL</t>
  </si>
  <si>
    <t>SYSCALL</t>
    <phoneticPr fontId="5" type="noConversion"/>
  </si>
  <si>
    <t>time_ns</t>
  </si>
  <si>
    <t>clk</t>
  </si>
  <si>
    <t>reset</t>
  </si>
  <si>
    <t>op_in</t>
  </si>
  <si>
    <t>funct_in</t>
  </si>
  <si>
    <t>ctrl_out</t>
  </si>
  <si>
    <t>0000000000000001010100</t>
  </si>
  <si>
    <t>0011000000000000000000</t>
  </si>
  <si>
    <t>1100000000000000000000</t>
  </si>
  <si>
    <t>010z000000000000000000</t>
  </si>
  <si>
    <t>010x000000000000000000</t>
  </si>
  <si>
    <t>0001000000000000110000</t>
  </si>
  <si>
    <t>000054</t>
    <phoneticPr fontId="5" type="noConversion"/>
  </si>
  <si>
    <t>0c0000</t>
    <phoneticPr fontId="5" type="noConversion"/>
  </si>
  <si>
    <t>300000</t>
    <phoneticPr fontId="5" type="noConversion"/>
  </si>
  <si>
    <t>040030</t>
    <phoneticPr fontId="5" type="noConversion"/>
  </si>
  <si>
    <t>0001000011010000110000</t>
  </si>
  <si>
    <t>043430</t>
    <phoneticPr fontId="5" type="noConversion"/>
  </si>
  <si>
    <t>J특수</t>
    <phoneticPr fontId="5" type="noConversion"/>
  </si>
  <si>
    <t>LW 주소 연산</t>
    <phoneticPr fontId="5" type="noConversion"/>
  </si>
  <si>
    <t>SW 주소 연산</t>
    <phoneticPr fontId="5" type="noConversion"/>
  </si>
  <si>
    <t>Branch 주소 연산</t>
    <phoneticPr fontId="5" type="noConversion"/>
  </si>
  <si>
    <t>syscall</t>
    <phoneticPr fontId="5" type="noConversion"/>
  </si>
  <si>
    <t>Branch 실행</t>
    <phoneticPr fontId="5" type="noConversion"/>
  </si>
  <si>
    <t>JAL특수 / WB</t>
    <phoneticPr fontId="5" type="noConversion"/>
  </si>
  <si>
    <t>Decode : BEQ</t>
    <phoneticPr fontId="5" type="noConversion"/>
  </si>
  <si>
    <t>J-type</t>
    <phoneticPr fontId="5" type="noConversion"/>
  </si>
  <si>
    <t>J-type 특수</t>
    <phoneticPr fontId="5" type="noConversion"/>
  </si>
  <si>
    <t>BEQ, BNE, JR, SYSCALL</t>
    <phoneticPr fontId="5" type="noConversion"/>
  </si>
  <si>
    <t>BEQ, BNE, JR, SYSCALL 1</t>
    <phoneticPr fontId="5" type="noConversion"/>
  </si>
  <si>
    <t>BEQ, BNE, JR, SYSCALL 완료</t>
    <phoneticPr fontId="5" type="noConversion"/>
  </si>
  <si>
    <t>stateTest</t>
    <phoneticPr fontId="5" type="noConversion"/>
  </si>
  <si>
    <t>Decode &amp; Branch 예측 계산 / J-type 점프 완료</t>
    <phoneticPr fontId="5" type="noConversion"/>
  </si>
  <si>
    <t>평균 :</t>
    <phoneticPr fontId="5" type="noConversion"/>
  </si>
  <si>
    <t>아래 값이 1이면 전체 정상</t>
    <phoneticPr fontId="5" type="noConversion"/>
  </si>
  <si>
    <t>WB 완료</t>
    <phoneticPr fontId="5" type="noConversion"/>
  </si>
  <si>
    <t>일반 ALU-type WB</t>
    <phoneticPr fontId="5" type="noConversion"/>
  </si>
  <si>
    <t>ALU-type WB 완료</t>
    <phoneticPr fontId="5" type="noConversion"/>
  </si>
  <si>
    <t>SLRXOR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</si>
</sst>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7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8" borderId="0" xfId="0" applyNumberFormat="1" applyFill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11" fillId="9" borderId="0" xfId="0" applyNumberFormat="1" applyFont="1" applyFill="1" applyAlignment="1">
      <alignment horizontal="center" vertical="center" wrapText="1"/>
    </xf>
    <xf numFmtId="49" fontId="12" fillId="9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7" borderId="0" xfId="0" applyNumberForma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0" fillId="0" borderId="0" xfId="0" quotePrefix="1">
      <alignment vertical="center"/>
    </xf>
    <xf numFmtId="0" fontId="15" fillId="10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FFC7E-8798-45EB-9A02-3610C9BD83B5}" name="ControlBits_Tb" displayName="ControlBits_Tb" ref="A1:AB37" totalsRowShown="0" headerRowDxfId="71" dataDxfId="70">
  <autoFilter ref="A1:AB37" xr:uid="{F88FFC7E-8798-45EB-9A02-3610C9BD83B5}"/>
  <tableColumns count="28">
    <tableColumn id="1" xr3:uid="{0036DF66-F262-4AF8-AAF5-81DFC3E3138B}" name="state" dataDxfId="69"/>
    <tableColumn id="2" xr3:uid="{987604BA-D764-486C-BAFF-36FD86B8F383}" name="IR" dataDxfId="68"/>
    <tableColumn id="3" xr3:uid="{DE8D02CA-C72B-4EBB-A0BA-730E5DF0CEF9}" name="JumpAddr" dataDxfId="67"/>
    <tableColumn id="4" xr3:uid="{6AAFCCC8-4885-4A62-AF24-1A90BD33204F}" name="PCSrc1" dataDxfId="66"/>
    <tableColumn id="5" xr3:uid="{3902A729-A5A5-477D-83EC-97132F74240B}" name="PCSrc0" dataDxfId="65"/>
    <tableColumn id="6" xr3:uid="{7E3C71E1-F5DF-47FE-A35C-52DE5DFE1573}" name="PCWrite" dataDxfId="64"/>
    <tableColumn id="7" xr3:uid="{87F267EC-F0C3-4F0A-A2A0-6A5A56944CC9}" name="Inst’Data" dataDxfId="63"/>
    <tableColumn id="8" xr3:uid="{3DF994F9-8963-4E8C-A7E8-E0A38D7D33E5}" name="MemRead" dataDxfId="62"/>
    <tableColumn id="9" xr3:uid="{2E902E30-400C-4463-B41E-27D958D27BD3}" name="MemWrite" dataDxfId="61"/>
    <tableColumn id="10" xr3:uid="{ABBB3315-2C17-46DE-BBEF-C38AC631E27A}" name="IRWrite" dataDxfId="60"/>
    <tableColumn id="11" xr3:uid="{89384B2D-6F4A-4104-9992-F4B7F2B7136D}" name="RegWrite" dataDxfId="59"/>
    <tableColumn id="12" xr3:uid="{0B290AB5-0DC0-4E33-BEC6-FA4C6E45A7C7}" name="RegDst1" dataDxfId="58"/>
    <tableColumn id="13" xr3:uid="{4435963E-035C-4BF9-87B2-1163A37C1738}" name="RegDst0" dataDxfId="57"/>
    <tableColumn id="14" xr3:uid="{76D19645-3361-430B-BF86-9ED364DAC521}" name="RegInSrc" dataDxfId="56"/>
    <tableColumn id="15" xr3:uid="{6B98814C-E308-4207-9B92-A47963290C73}" name="DRegSel1" dataDxfId="55"/>
    <tableColumn id="16" xr3:uid="{44308275-5A07-454B-9172-8427B77DDE76}" name="DRegSel0" dataDxfId="54"/>
    <tableColumn id="17" xr3:uid="{A636263E-94BE-42D3-A41E-68CA7D1E8CC2}" name="ALUSrcX1" dataDxfId="53"/>
    <tableColumn id="18" xr3:uid="{A0FC223F-FC4D-4EFF-AC64-2676BB2214E1}" name="ALUSrcX0" dataDxfId="52"/>
    <tableColumn id="19" xr3:uid="{2D25D3F9-7C3B-4676-86D3-05D202757665}" name="ALUSrcY1" dataDxfId="51"/>
    <tableColumn id="20" xr3:uid="{6D0E8AF4-B4A5-4B36-B982-91E9B049342B}" name="ALUSrcY0" dataDxfId="50"/>
    <tableColumn id="21" xr3:uid="{68E8099E-6CB4-43B8-917F-758556B231C9}" name="ALUFn1" dataDxfId="49"/>
    <tableColumn id="22" xr3:uid="{2D993C19-9277-47C4-BBD7-9D1E364E1A22}" name="ALUFn0" dataDxfId="48"/>
    <tableColumn id="23" xr3:uid="{A70BED57-6AF3-44DA-98E9-8F6C8B41A865}" name="FnType1" dataDxfId="47"/>
    <tableColumn id="24" xr3:uid="{A875957B-06A6-4E0C-9852-7954E055D1D6}" name="FnType0" dataDxfId="46"/>
    <tableColumn id="28" xr3:uid="{F20EF285-1EDF-4FD6-9BB6-C2953E171C48}" name="16진수" dataDxfId="45"/>
    <tableColumn id="25" xr3:uid="{E84D0C56-7012-4667-A8E5-D4CCF81C1497}" name="비고1" dataDxfId="44"/>
    <tableColumn id="26" xr3:uid="{30ED172E-A3F6-4017-AF7B-D8F5DEB26F30}" name="비고2" dataDxfId="43"/>
    <tableColumn id="27" xr3:uid="{108EF732-F42D-401E-A3EB-902AD79E5219}" name="비고3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27DCF-06E6-4C45-B78E-F40C0F5EC78D}" name="Test" displayName="Test" ref="A1:H104" totalsRowShown="0" headerRowDxfId="41" dataDxfId="40">
  <autoFilter ref="A1:H104" xr:uid="{29027DCF-06E6-4C45-B78E-F40C0F5EC78D}"/>
  <tableColumns count="8">
    <tableColumn id="1" xr3:uid="{BB276778-4919-45B5-8F4F-E4EA62A68426}" name="time_ns" dataDxfId="39"/>
    <tableColumn id="2" xr3:uid="{A7043260-8629-4DC7-AD5C-DF8DBFA8E0F4}" name="clk" dataDxfId="38"/>
    <tableColumn id="3" xr3:uid="{CBE638E1-78EE-4E05-B4AF-A1887C37B3EA}" name="reset" dataDxfId="37"/>
    <tableColumn id="4" xr3:uid="{3AA675A4-75C8-4007-BF87-195632EF6C01}" name="op_in" dataDxfId="36"/>
    <tableColumn id="5" xr3:uid="{28AEE57E-E75E-44C8-9676-47BE42D3B25A}" name="funct_in" dataDxfId="35"/>
    <tableColumn id="6" xr3:uid="{9B1E71D6-B829-4485-9843-DA7986A332F7}" name="state" dataDxfId="34"/>
    <tableColumn id="7" xr3:uid="{3B62F4A7-7765-4360-848A-D1CC842AEEC6}" name="ctrl_out" dataDxfId="33"/>
    <tableColumn id="8" xr3:uid="{F7343C93-E3B9-4495-8FD5-4361AAE545C0}" name="16진수test" dataDxfId="32">
      <calculatedColumnFormula array="1">_xlfn.LET(
  _xlpm.s, SUBSTITUTE(SUBSTITUTE(TRIM(G2),"'",""),"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E15E-72C2-411D-9BEC-5519923415ED}">
  <dimension ref="A1:H21"/>
  <sheetViews>
    <sheetView tabSelected="1" workbookViewId="0">
      <selection activeCell="F15" sqref="F15"/>
    </sheetView>
  </sheetViews>
  <sheetFormatPr defaultRowHeight="17.399999999999999"/>
  <cols>
    <col min="2" max="2" width="10" bestFit="1" customWidth="1"/>
    <col min="3" max="3" width="30.69921875" customWidth="1"/>
    <col min="4" max="4" width="13.296875" customWidth="1"/>
    <col min="5" max="5" width="22.8984375" bestFit="1" customWidth="1"/>
    <col min="6" max="6" width="42.19921875" bestFit="1" customWidth="1"/>
    <col min="8" max="8" width="23.8984375" bestFit="1" customWidth="1"/>
  </cols>
  <sheetData>
    <row r="1" spans="1:8">
      <c r="A1" s="10" t="s">
        <v>31</v>
      </c>
      <c r="B1" s="11" t="s">
        <v>0</v>
      </c>
      <c r="C1" s="11" t="s">
        <v>1</v>
      </c>
      <c r="D1" s="11" t="s">
        <v>2</v>
      </c>
      <c r="E1" s="11" t="s">
        <v>95</v>
      </c>
      <c r="F1" s="11" t="s">
        <v>3</v>
      </c>
      <c r="G1" s="11"/>
      <c r="H1" s="11" t="s">
        <v>289</v>
      </c>
    </row>
    <row r="2" spans="1:8">
      <c r="A2" s="10">
        <v>0</v>
      </c>
      <c r="B2" s="2" t="s">
        <v>4</v>
      </c>
      <c r="C2" s="1" t="s">
        <v>23</v>
      </c>
      <c r="D2" s="2" t="s">
        <v>5</v>
      </c>
      <c r="E2" s="2" t="s">
        <v>26</v>
      </c>
      <c r="F2" s="1" t="s">
        <v>50</v>
      </c>
    </row>
    <row r="3" spans="1:8">
      <c r="A3" s="10">
        <v>1</v>
      </c>
      <c r="B3" s="2" t="s">
        <v>5</v>
      </c>
      <c r="C3" s="3" t="s">
        <v>7</v>
      </c>
      <c r="D3" s="2" t="s">
        <v>8</v>
      </c>
      <c r="E3" s="3" t="s">
        <v>28</v>
      </c>
      <c r="F3" s="1" t="s">
        <v>51</v>
      </c>
    </row>
    <row r="4" spans="1:8">
      <c r="A4" s="10">
        <v>2</v>
      </c>
      <c r="B4" s="1"/>
      <c r="C4" s="3" t="s">
        <v>9</v>
      </c>
      <c r="D4" s="2" t="s">
        <v>8</v>
      </c>
      <c r="E4" s="3" t="s">
        <v>29</v>
      </c>
      <c r="F4" s="1" t="s">
        <v>51</v>
      </c>
      <c r="H4" s="32">
        <f>IF(ControlBits!AH102=1,1,0)</f>
        <v>1</v>
      </c>
    </row>
    <row r="5" spans="1:8">
      <c r="A5" s="10">
        <v>3</v>
      </c>
      <c r="B5" s="1"/>
      <c r="C5" s="3" t="s">
        <v>283</v>
      </c>
      <c r="D5" s="2" t="s">
        <v>10</v>
      </c>
      <c r="E5" s="3" t="s">
        <v>280</v>
      </c>
      <c r="F5" s="1" t="s">
        <v>51</v>
      </c>
    </row>
    <row r="6" spans="1:8">
      <c r="A6" s="10"/>
      <c r="B6" s="1"/>
      <c r="C6" s="3" t="s">
        <v>281</v>
      </c>
      <c r="D6" s="34" t="s">
        <v>4</v>
      </c>
      <c r="E6" s="3" t="s">
        <v>282</v>
      </c>
      <c r="F6" s="1" t="s">
        <v>287</v>
      </c>
    </row>
    <row r="7" spans="1:8">
      <c r="A7" s="10">
        <v>4</v>
      </c>
      <c r="B7" s="1"/>
      <c r="C7" s="3" t="s">
        <v>89</v>
      </c>
      <c r="D7" s="2" t="s">
        <v>6</v>
      </c>
      <c r="E7" s="3" t="s">
        <v>90</v>
      </c>
      <c r="F7" s="1" t="s">
        <v>51</v>
      </c>
    </row>
    <row r="8" spans="1:8">
      <c r="A8" s="10">
        <v>5</v>
      </c>
      <c r="B8" s="1"/>
      <c r="C8" s="5" t="s">
        <v>22</v>
      </c>
      <c r="D8" s="2" t="s">
        <v>11</v>
      </c>
      <c r="E8" s="5" t="s">
        <v>30</v>
      </c>
      <c r="F8" s="1" t="s">
        <v>51</v>
      </c>
    </row>
    <row r="9" spans="1:8">
      <c r="A9" s="10">
        <v>6</v>
      </c>
      <c r="B9" s="2" t="s">
        <v>8</v>
      </c>
      <c r="C9" s="1" t="s">
        <v>24</v>
      </c>
      <c r="D9" s="2" t="s">
        <v>12</v>
      </c>
      <c r="E9" s="3" t="s">
        <v>36</v>
      </c>
      <c r="F9" s="1" t="s">
        <v>47</v>
      </c>
    </row>
    <row r="10" spans="1:8">
      <c r="A10" s="10">
        <v>7</v>
      </c>
      <c r="B10" s="1"/>
      <c r="C10" s="1" t="s">
        <v>25</v>
      </c>
      <c r="D10" s="2" t="s">
        <v>13</v>
      </c>
      <c r="E10" s="3" t="s">
        <v>37</v>
      </c>
      <c r="F10" s="1" t="s">
        <v>49</v>
      </c>
    </row>
    <row r="11" spans="1:8">
      <c r="A11" s="10">
        <v>8</v>
      </c>
      <c r="B11" s="2" t="s">
        <v>12</v>
      </c>
      <c r="C11" s="1" t="s">
        <v>23</v>
      </c>
      <c r="D11" s="2" t="s">
        <v>14</v>
      </c>
      <c r="E11" s="3" t="s">
        <v>38</v>
      </c>
      <c r="F11" s="1" t="s">
        <v>48</v>
      </c>
    </row>
    <row r="12" spans="1:8">
      <c r="A12" s="10">
        <v>9</v>
      </c>
      <c r="B12" s="2" t="s">
        <v>14</v>
      </c>
      <c r="C12" s="1" t="s">
        <v>23</v>
      </c>
      <c r="D12" s="34" t="s">
        <v>4</v>
      </c>
      <c r="E12" s="3" t="s">
        <v>39</v>
      </c>
      <c r="F12" s="1" t="s">
        <v>290</v>
      </c>
    </row>
    <row r="13" spans="1:8">
      <c r="A13" s="10">
        <v>10</v>
      </c>
      <c r="B13" s="2" t="s">
        <v>10</v>
      </c>
      <c r="C13" s="1" t="s">
        <v>23</v>
      </c>
      <c r="D13" s="34" t="s">
        <v>4</v>
      </c>
      <c r="E13" s="3" t="s">
        <v>284</v>
      </c>
      <c r="F13" s="1" t="s">
        <v>285</v>
      </c>
    </row>
    <row r="14" spans="1:8">
      <c r="A14" s="10">
        <v>11</v>
      </c>
      <c r="B14" s="2" t="s">
        <v>13</v>
      </c>
      <c r="C14" s="1" t="s">
        <v>23</v>
      </c>
      <c r="D14" s="34" t="s">
        <v>4</v>
      </c>
      <c r="E14" s="3" t="s">
        <v>40</v>
      </c>
      <c r="F14" s="1" t="s">
        <v>15</v>
      </c>
    </row>
    <row r="15" spans="1:8">
      <c r="A15" s="10">
        <v>12</v>
      </c>
      <c r="B15" s="2" t="s">
        <v>6</v>
      </c>
      <c r="C15" s="4" t="s">
        <v>293</v>
      </c>
      <c r="D15" s="2" t="s">
        <v>16</v>
      </c>
      <c r="E15" s="6" t="s">
        <v>41</v>
      </c>
      <c r="F15" s="1" t="s">
        <v>32</v>
      </c>
    </row>
    <row r="16" spans="1:8">
      <c r="A16" s="10">
        <v>13</v>
      </c>
      <c r="B16" s="1"/>
      <c r="C16" s="8" t="s">
        <v>93</v>
      </c>
      <c r="D16" s="2" t="s">
        <v>17</v>
      </c>
      <c r="E16" s="3" t="s">
        <v>91</v>
      </c>
      <c r="F16" s="1" t="s">
        <v>291</v>
      </c>
    </row>
    <row r="17" spans="1:6">
      <c r="A17" s="10">
        <v>14</v>
      </c>
      <c r="B17" s="2" t="s">
        <v>17</v>
      </c>
      <c r="C17" s="1" t="s">
        <v>23</v>
      </c>
      <c r="D17" s="34" t="s">
        <v>4</v>
      </c>
      <c r="E17" s="3" t="s">
        <v>92</v>
      </c>
      <c r="F17" s="1" t="s">
        <v>292</v>
      </c>
    </row>
    <row r="18" spans="1:6">
      <c r="A18" s="10">
        <v>15</v>
      </c>
      <c r="B18" s="2" t="s">
        <v>16</v>
      </c>
      <c r="C18" s="1" t="s">
        <v>23</v>
      </c>
      <c r="D18" s="2" t="s">
        <v>17</v>
      </c>
      <c r="E18" s="6" t="s">
        <v>42</v>
      </c>
      <c r="F18" s="1" t="s">
        <v>33</v>
      </c>
    </row>
    <row r="19" spans="1:6">
      <c r="A19" s="10">
        <v>16</v>
      </c>
      <c r="B19" s="2" t="s">
        <v>11</v>
      </c>
      <c r="C19" s="1" t="s">
        <v>23</v>
      </c>
      <c r="D19" s="2" t="s">
        <v>18</v>
      </c>
      <c r="E19" s="5" t="s">
        <v>43</v>
      </c>
      <c r="F19" s="1" t="s">
        <v>34</v>
      </c>
    </row>
    <row r="20" spans="1:6">
      <c r="A20" s="10">
        <v>17</v>
      </c>
      <c r="B20" s="2" t="s">
        <v>18</v>
      </c>
      <c r="C20" s="1" t="s">
        <v>23</v>
      </c>
      <c r="D20" s="2" t="s">
        <v>19</v>
      </c>
      <c r="E20" s="5" t="s">
        <v>44</v>
      </c>
      <c r="F20" s="1" t="s">
        <v>35</v>
      </c>
    </row>
    <row r="21" spans="1:6">
      <c r="A21" s="10">
        <v>18</v>
      </c>
      <c r="B21" s="2" t="s">
        <v>19</v>
      </c>
      <c r="C21" s="1" t="s">
        <v>23</v>
      </c>
      <c r="D21" s="34" t="s">
        <v>4</v>
      </c>
      <c r="E21" s="5" t="s">
        <v>45</v>
      </c>
      <c r="F21" s="1" t="s">
        <v>20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0FA5-86A7-4A49-89E6-B7D572B5CE72}">
  <dimension ref="A1:AJ102"/>
  <sheetViews>
    <sheetView zoomScale="55" zoomScaleNormal="55" workbookViewId="0">
      <selection activeCell="J9" sqref="J9"/>
    </sheetView>
  </sheetViews>
  <sheetFormatPr defaultRowHeight="17.399999999999999"/>
  <cols>
    <col min="2" max="2" width="8.5" bestFit="1" customWidth="1"/>
    <col min="3" max="3" width="5.5" bestFit="1" customWidth="1"/>
    <col min="4" max="4" width="11.5" bestFit="1" customWidth="1"/>
    <col min="5" max="5" width="9.59765625" bestFit="1" customWidth="1"/>
    <col min="6" max="6" width="6.296875" bestFit="1" customWidth="1"/>
    <col min="7" max="7" width="10.69921875" bestFit="1" customWidth="1"/>
    <col min="8" max="8" width="10.796875" bestFit="1" customWidth="1"/>
    <col min="9" max="9" width="9.09765625" bestFit="1" customWidth="1"/>
    <col min="10" max="10" width="8.09765625" bestFit="1" customWidth="1"/>
    <col min="11" max="11" width="9" bestFit="1" customWidth="1"/>
    <col min="12" max="12" width="9.69921875" bestFit="1" customWidth="1"/>
    <col min="13" max="13" width="10.59765625" bestFit="1" customWidth="1"/>
    <col min="14" max="14" width="11.19921875" bestFit="1" customWidth="1"/>
    <col min="15" max="15" width="8.59765625" bestFit="1" customWidth="1"/>
    <col min="16" max="16" width="10.09765625" bestFit="1" customWidth="1"/>
    <col min="17" max="18" width="9.3984375" bestFit="1" customWidth="1"/>
    <col min="19" max="19" width="9.69921875" bestFit="1" customWidth="1"/>
    <col min="20" max="21" width="10.296875" bestFit="1" customWidth="1"/>
    <col min="22" max="23" width="10.59765625" bestFit="1" customWidth="1"/>
    <col min="24" max="25" width="10.5" bestFit="1" customWidth="1"/>
    <col min="26" max="27" width="9.69921875" bestFit="1" customWidth="1"/>
    <col min="28" max="28" width="9.19921875" bestFit="1" customWidth="1"/>
    <col min="29" max="29" width="9.19921875" customWidth="1"/>
    <col min="30" max="30" width="18.296875" bestFit="1" customWidth="1"/>
    <col min="31" max="31" width="18.5" bestFit="1" customWidth="1"/>
    <col min="32" max="32" width="13" bestFit="1" customWidth="1"/>
    <col min="33" max="33" width="17.19921875" bestFit="1" customWidth="1"/>
    <col min="34" max="34" width="13" bestFit="1" customWidth="1"/>
    <col min="35" max="35" width="16.59765625" customWidth="1"/>
    <col min="36" max="36" width="57" bestFit="1" customWidth="1"/>
    <col min="37" max="37" width="11.09765625" customWidth="1"/>
  </cols>
  <sheetData>
    <row r="1" spans="1:36">
      <c r="A1" s="10" t="s">
        <v>31</v>
      </c>
      <c r="B1" s="11" t="s">
        <v>52</v>
      </c>
      <c r="C1" s="11" t="s">
        <v>53</v>
      </c>
      <c r="D1" s="11" t="s">
        <v>54</v>
      </c>
      <c r="E1" s="11" t="s">
        <v>55</v>
      </c>
      <c r="F1" s="14" t="s">
        <v>99</v>
      </c>
      <c r="G1" s="11" t="s">
        <v>95</v>
      </c>
      <c r="H1" s="16" t="s">
        <v>100</v>
      </c>
      <c r="I1" s="16" t="s">
        <v>109</v>
      </c>
      <c r="J1" s="16" t="s">
        <v>108</v>
      </c>
      <c r="K1" s="16" t="s">
        <v>101</v>
      </c>
      <c r="L1" s="15" t="s">
        <v>102</v>
      </c>
      <c r="M1" s="15" t="s">
        <v>103</v>
      </c>
      <c r="N1" s="15" t="s">
        <v>105</v>
      </c>
      <c r="O1" s="15" t="s">
        <v>104</v>
      </c>
      <c r="P1" s="16" t="s">
        <v>106</v>
      </c>
      <c r="Q1" s="16" t="s">
        <v>111</v>
      </c>
      <c r="R1" s="16" t="s">
        <v>110</v>
      </c>
      <c r="S1" s="16" t="s">
        <v>107</v>
      </c>
      <c r="T1" s="16" t="s">
        <v>112</v>
      </c>
      <c r="U1" s="16" t="s">
        <v>113</v>
      </c>
      <c r="V1" s="15" t="s">
        <v>114</v>
      </c>
      <c r="W1" s="15" t="s">
        <v>117</v>
      </c>
      <c r="X1" s="15" t="s">
        <v>115</v>
      </c>
      <c r="Y1" s="15" t="s">
        <v>116</v>
      </c>
      <c r="Z1" s="15" t="s">
        <v>209</v>
      </c>
      <c r="AA1" s="15" t="s">
        <v>210</v>
      </c>
      <c r="AB1" s="15" t="s">
        <v>118</v>
      </c>
      <c r="AC1" s="15" t="s">
        <v>119</v>
      </c>
      <c r="AD1" s="15" t="s">
        <v>179</v>
      </c>
      <c r="AE1" s="11" t="s">
        <v>247</v>
      </c>
      <c r="AF1" s="11" t="s">
        <v>248</v>
      </c>
      <c r="AG1" s="11" t="s">
        <v>286</v>
      </c>
      <c r="AH1" s="11" t="s">
        <v>248</v>
      </c>
      <c r="AI1" s="11"/>
      <c r="AJ1" s="11" t="s">
        <v>94</v>
      </c>
    </row>
    <row r="2" spans="1:36">
      <c r="A2" s="39">
        <v>0</v>
      </c>
      <c r="B2" s="40" t="s">
        <v>122</v>
      </c>
      <c r="C2" s="40" t="s">
        <v>123</v>
      </c>
      <c r="D2" s="40">
        <v>0</v>
      </c>
      <c r="E2" s="40">
        <v>100000</v>
      </c>
      <c r="F2" s="1">
        <v>0</v>
      </c>
      <c r="G2" s="7" t="s">
        <v>26</v>
      </c>
      <c r="H2" s="22">
        <f>INDEX(ControlBits_Tb[],MATCH($G2,ControlBits_Tb[IR],0),MATCH(H$1,ControlBits_Tb[#Headers],0))</f>
        <v>0</v>
      </c>
      <c r="I2" s="22">
        <f>INDEX(ControlBits_Tb[],MATCH($G2,ControlBits_Tb[IR],0),MATCH(I$1,ControlBits_Tb[#Headers],0))</f>
        <v>1</v>
      </c>
      <c r="J2" s="22">
        <f>INDEX(ControlBits_Tb[],MATCH($G2,ControlBits_Tb[IR],0),MATCH(J$1,ControlBits_Tb[#Headers],0))</f>
        <v>1</v>
      </c>
      <c r="K2" s="22">
        <f>INDEX(ControlBits_Tb[],MATCH($G2,ControlBits_Tb[IR],0),MATCH(K$1,ControlBits_Tb[#Headers],0))</f>
        <v>1</v>
      </c>
      <c r="L2" s="22">
        <f>INDEX(ControlBits_Tb[],MATCH($G2,ControlBits_Tb[IR],0),MATCH(L$1,ControlBits_Tb[#Headers],0))</f>
        <v>0</v>
      </c>
      <c r="M2" s="22">
        <f>INDEX(ControlBits_Tb[],MATCH($G2,ControlBits_Tb[IR],0),MATCH(M$1,ControlBits_Tb[#Headers],0))</f>
        <v>1</v>
      </c>
      <c r="N2" s="22">
        <f>INDEX(ControlBits_Tb[],MATCH($G2,ControlBits_Tb[IR],0),MATCH(N$1,ControlBits_Tb[#Headers],0))</f>
        <v>0</v>
      </c>
      <c r="O2" s="22">
        <f>INDEX(ControlBits_Tb[],MATCH($G2,ControlBits_Tb[IR],0),MATCH(O$1,ControlBits_Tb[#Headers],0))</f>
        <v>1</v>
      </c>
      <c r="P2" s="22">
        <f>INDEX(ControlBits_Tb[],MATCH($G2,ControlBits_Tb[IR],0),MATCH(P$1,ControlBits_Tb[#Headers],0))</f>
        <v>0</v>
      </c>
      <c r="Q2" s="22">
        <f>INDEX(ControlBits_Tb[],MATCH($G2,ControlBits_Tb[IR],0),MATCH(Q$1,ControlBits_Tb[#Headers],0))</f>
        <v>0</v>
      </c>
      <c r="R2" s="22">
        <f>INDEX(ControlBits_Tb[],MATCH($G2,ControlBits_Tb[IR],0),MATCH(R$1,ControlBits_Tb[#Headers],0))</f>
        <v>0</v>
      </c>
      <c r="S2" s="22">
        <f>INDEX(ControlBits_Tb[],MATCH($G2,ControlBits_Tb[IR],0),MATCH(S$1,ControlBits_Tb[#Headers],0))</f>
        <v>0</v>
      </c>
      <c r="T2" s="22">
        <f>INDEX(ControlBits_Tb[],MATCH($G2,ControlBits_Tb[IR],0),MATCH(T$1,ControlBits_Tb[#Headers],0))</f>
        <v>0</v>
      </c>
      <c r="U2" s="22">
        <f>INDEX(ControlBits_Tb[],MATCH($G2,ControlBits_Tb[IR],0),MATCH(U$1,ControlBits_Tb[#Headers],0))</f>
        <v>0</v>
      </c>
      <c r="V2" s="22">
        <f>INDEX(ControlBits_Tb[],MATCH($G2,ControlBits_Tb[IR],0),MATCH(V$1,ControlBits_Tb[#Headers],0))</f>
        <v>0</v>
      </c>
      <c r="W2" s="22">
        <f>INDEX(ControlBits_Tb[],MATCH($G2,ControlBits_Tb[IR],0),MATCH(W$1,ControlBits_Tb[#Headers],0))</f>
        <v>0</v>
      </c>
      <c r="X2" s="22">
        <f>INDEX(ControlBits_Tb[],MATCH($G2,ControlBits_Tb[IR],0),MATCH(X$1,ControlBits_Tb[#Headers],0))</f>
        <v>0</v>
      </c>
      <c r="Y2" s="22">
        <f>INDEX(ControlBits_Tb[],MATCH($G2,ControlBits_Tb[IR],0),MATCH(Y$1,ControlBits_Tb[#Headers],0))</f>
        <v>0</v>
      </c>
      <c r="Z2" s="22">
        <f>INDEX(ControlBits_Tb[],MATCH($G2,ControlBits_Tb[IR],0),MATCH(Z$1,ControlBits_Tb[#Headers],0))</f>
        <v>0</v>
      </c>
      <c r="AA2" s="22">
        <f>INDEX(ControlBits_Tb[],MATCH($G2,ControlBits_Tb[IR],0),MATCH(AA$1,ControlBits_Tb[#Headers],0))</f>
        <v>0</v>
      </c>
      <c r="AB2" s="22">
        <f>INDEX(ControlBits_Tb[],MATCH($G2,ControlBits_Tb[IR],0),MATCH(AB$1,ControlBits_Tb[#Headers],0))</f>
        <v>0</v>
      </c>
      <c r="AC2" s="22">
        <f>INDEX(ControlBits_Tb[],MATCH($G2,ControlBits_Tb[IR],0),MATCH(AC$1,ControlBits_Tb[#Headers],0))</f>
        <v>0</v>
      </c>
      <c r="AD2" s="22" t="str">
        <f>INDEX(ControlBits_Tb[],MATCH($G2,ControlBits_Tb[IR],0),MATCH(AD$1,ControlBits_Tb[#Headers],0))</f>
        <v>1d4000</v>
      </c>
      <c r="AE2" s="28" t="str">
        <f>Test[[#This Row],[16진수test]]</f>
        <v>1D4000</v>
      </c>
      <c r="AF2" s="29">
        <f>IF(AD2=AE2,1,0)</f>
        <v>1</v>
      </c>
      <c r="AG2" s="29">
        <f xml:space="preserve"> Test[[#This Row],[state]]</f>
        <v>0</v>
      </c>
      <c r="AH2" s="29">
        <f>IF(F2=AG2,1,0)</f>
        <v>1</v>
      </c>
      <c r="AI2" s="1"/>
      <c r="AJ2" s="9"/>
    </row>
    <row r="3" spans="1:36">
      <c r="A3" s="39"/>
      <c r="B3" s="40"/>
      <c r="C3" s="40"/>
      <c r="D3" s="40"/>
      <c r="E3" s="40"/>
      <c r="F3" s="1">
        <v>1</v>
      </c>
      <c r="G3" s="7" t="s">
        <v>137</v>
      </c>
      <c r="H3" s="22">
        <f>INDEX(ControlBits_Tb[],MATCH($G3,ControlBits_Tb[IR],0),MATCH(H$1,ControlBits_Tb[#Headers],0))</f>
        <v>0</v>
      </c>
      <c r="I3" s="22">
        <f>INDEX(ControlBits_Tb[],MATCH($G3,ControlBits_Tb[IR],0),MATCH(I$1,ControlBits_Tb[#Headers],0))</f>
        <v>0</v>
      </c>
      <c r="J3" s="22">
        <f>INDEX(ControlBits_Tb[],MATCH($G3,ControlBits_Tb[IR],0),MATCH(J$1,ControlBits_Tb[#Headers],0))</f>
        <v>0</v>
      </c>
      <c r="K3" s="22">
        <f>INDEX(ControlBits_Tb[],MATCH($G3,ControlBits_Tb[IR],0),MATCH(K$1,ControlBits_Tb[#Headers],0))</f>
        <v>0</v>
      </c>
      <c r="L3" s="22">
        <f>INDEX(ControlBits_Tb[],MATCH($G3,ControlBits_Tb[IR],0),MATCH(L$1,ControlBits_Tb[#Headers],0))</f>
        <v>0</v>
      </c>
      <c r="M3" s="22">
        <f>INDEX(ControlBits_Tb[],MATCH($G3,ControlBits_Tb[IR],0),MATCH(M$1,ControlBits_Tb[#Headers],0))</f>
        <v>0</v>
      </c>
      <c r="N3" s="22">
        <f>INDEX(ControlBits_Tb[],MATCH($G3,ControlBits_Tb[IR],0),MATCH(N$1,ControlBits_Tb[#Headers],0))</f>
        <v>0</v>
      </c>
      <c r="O3" s="22">
        <f>INDEX(ControlBits_Tb[],MATCH($G3,ControlBits_Tb[IR],0),MATCH(O$1,ControlBits_Tb[#Headers],0))</f>
        <v>0</v>
      </c>
      <c r="P3" s="22">
        <f>INDEX(ControlBits_Tb[],MATCH($G3,ControlBits_Tb[IR],0),MATCH(P$1,ControlBits_Tb[#Headers],0))</f>
        <v>0</v>
      </c>
      <c r="Q3" s="22">
        <f>INDEX(ControlBits_Tb[],MATCH($G3,ControlBits_Tb[IR],0),MATCH(Q$1,ControlBits_Tb[#Headers],0))</f>
        <v>0</v>
      </c>
      <c r="R3" s="22">
        <f>INDEX(ControlBits_Tb[],MATCH($G3,ControlBits_Tb[IR],0),MATCH(R$1,ControlBits_Tb[#Headers],0))</f>
        <v>0</v>
      </c>
      <c r="S3" s="22">
        <f>INDEX(ControlBits_Tb[],MATCH($G3,ControlBits_Tb[IR],0),MATCH(S$1,ControlBits_Tb[#Headers],0))</f>
        <v>0</v>
      </c>
      <c r="T3" s="22">
        <f>INDEX(ControlBits_Tb[],MATCH($G3,ControlBits_Tb[IR],0),MATCH(T$1,ControlBits_Tb[#Headers],0))</f>
        <v>0</v>
      </c>
      <c r="U3" s="22">
        <f>INDEX(ControlBits_Tb[],MATCH($G3,ControlBits_Tb[IR],0),MATCH(U$1,ControlBits_Tb[#Headers],0))</f>
        <v>0</v>
      </c>
      <c r="V3" s="22">
        <f>INDEX(ControlBits_Tb[],MATCH($G3,ControlBits_Tb[IR],0),MATCH(V$1,ControlBits_Tb[#Headers],0))</f>
        <v>0</v>
      </c>
      <c r="W3" s="22">
        <f>INDEX(ControlBits_Tb[],MATCH($G3,ControlBits_Tb[IR],0),MATCH(W$1,ControlBits_Tb[#Headers],0))</f>
        <v>0</v>
      </c>
      <c r="X3" s="22">
        <f>INDEX(ControlBits_Tb[],MATCH($G3,ControlBits_Tb[IR],0),MATCH(X$1,ControlBits_Tb[#Headers],0))</f>
        <v>1</v>
      </c>
      <c r="Y3" s="22">
        <f>INDEX(ControlBits_Tb[],MATCH($G3,ControlBits_Tb[IR],0),MATCH(Y$1,ControlBits_Tb[#Headers],0))</f>
        <v>1</v>
      </c>
      <c r="Z3" s="22">
        <f>INDEX(ControlBits_Tb[],MATCH($G3,ControlBits_Tb[IR],0),MATCH(Z$1,ControlBits_Tb[#Headers],0))</f>
        <v>0</v>
      </c>
      <c r="AA3" s="22">
        <f>INDEX(ControlBits_Tb[],MATCH($G3,ControlBits_Tb[IR],0),MATCH(AA$1,ControlBits_Tb[#Headers],0))</f>
        <v>0</v>
      </c>
      <c r="AB3" s="22">
        <f>INDEX(ControlBits_Tb[],MATCH($G3,ControlBits_Tb[IR],0),MATCH(AB$1,ControlBits_Tb[#Headers],0))</f>
        <v>0</v>
      </c>
      <c r="AC3" s="22">
        <f>INDEX(ControlBits_Tb[],MATCH($G3,ControlBits_Tb[IR],0),MATCH(AC$1,ControlBits_Tb[#Headers],0))</f>
        <v>0</v>
      </c>
      <c r="AD3" s="22" t="str">
        <f>INDEX(ControlBits_Tb[],MATCH($G3,ControlBits_Tb[IR],0),MATCH(AD$1,ControlBits_Tb[#Headers],0))</f>
        <v>000030</v>
      </c>
      <c r="AE3" s="28" t="str">
        <f>Test[[#This Row],[16진수test]]</f>
        <v>000030</v>
      </c>
      <c r="AF3" s="29">
        <f t="shared" ref="AF3:AF64" si="0">IF(AD3=AE3,1,0)</f>
        <v>1</v>
      </c>
      <c r="AG3" s="29">
        <f xml:space="preserve"> Test[[#This Row],[state]]</f>
        <v>1</v>
      </c>
      <c r="AH3" s="29">
        <f>IF(F3=AG3,1,0)</f>
        <v>1</v>
      </c>
      <c r="AI3" s="1"/>
      <c r="AJ3" s="9"/>
    </row>
    <row r="4" spans="1:36">
      <c r="A4" s="39"/>
      <c r="B4" s="40"/>
      <c r="C4" s="40"/>
      <c r="D4" s="40"/>
      <c r="E4" s="40"/>
      <c r="F4" s="1">
        <v>7</v>
      </c>
      <c r="G4" s="9" t="s">
        <v>122</v>
      </c>
      <c r="H4" s="22">
        <f>INDEX(ControlBits_Tb[],MATCH($G4,ControlBits_Tb[IR],0),MATCH(H$1,ControlBits_Tb[#Headers],0))</f>
        <v>0</v>
      </c>
      <c r="I4" s="22">
        <f>INDEX(ControlBits_Tb[],MATCH($G4,ControlBits_Tb[IR],0),MATCH(I$1,ControlBits_Tb[#Headers],0))</f>
        <v>0</v>
      </c>
      <c r="J4" s="22">
        <f>INDEX(ControlBits_Tb[],MATCH($G4,ControlBits_Tb[IR],0),MATCH(J$1,ControlBits_Tb[#Headers],0))</f>
        <v>0</v>
      </c>
      <c r="K4" s="22">
        <f>INDEX(ControlBits_Tb[],MATCH($G4,ControlBits_Tb[IR],0),MATCH(K$1,ControlBits_Tb[#Headers],0))</f>
        <v>0</v>
      </c>
      <c r="L4" s="22">
        <f>INDEX(ControlBits_Tb[],MATCH($G4,ControlBits_Tb[IR],0),MATCH(L$1,ControlBits_Tb[#Headers],0))</f>
        <v>0</v>
      </c>
      <c r="M4" s="22">
        <f>INDEX(ControlBits_Tb[],MATCH($G4,ControlBits_Tb[IR],0),MATCH(M$1,ControlBits_Tb[#Headers],0))</f>
        <v>0</v>
      </c>
      <c r="N4" s="22">
        <f>INDEX(ControlBits_Tb[],MATCH($G4,ControlBits_Tb[IR],0),MATCH(N$1,ControlBits_Tb[#Headers],0))</f>
        <v>0</v>
      </c>
      <c r="O4" s="22">
        <f>INDEX(ControlBits_Tb[],MATCH($G4,ControlBits_Tb[IR],0),MATCH(O$1,ControlBits_Tb[#Headers],0))</f>
        <v>0</v>
      </c>
      <c r="P4" s="22">
        <f>INDEX(ControlBits_Tb[],MATCH($G4,ControlBits_Tb[IR],0),MATCH(P$1,ControlBits_Tb[#Headers],0))</f>
        <v>0</v>
      </c>
      <c r="Q4" s="22">
        <f>INDEX(ControlBits_Tb[],MATCH($G4,ControlBits_Tb[IR],0),MATCH(Q$1,ControlBits_Tb[#Headers],0))</f>
        <v>0</v>
      </c>
      <c r="R4" s="22">
        <f>INDEX(ControlBits_Tb[],MATCH($G4,ControlBits_Tb[IR],0),MATCH(R$1,ControlBits_Tb[#Headers],0))</f>
        <v>0</v>
      </c>
      <c r="S4" s="22">
        <f>INDEX(ControlBits_Tb[],MATCH($G4,ControlBits_Tb[IR],0),MATCH(S$1,ControlBits_Tb[#Headers],0))</f>
        <v>0</v>
      </c>
      <c r="T4" s="22">
        <f>INDEX(ControlBits_Tb[],MATCH($G4,ControlBits_Tb[IR],0),MATCH(T$1,ControlBits_Tb[#Headers],0))</f>
        <v>0</v>
      </c>
      <c r="U4" s="22">
        <f>INDEX(ControlBits_Tb[],MATCH($G4,ControlBits_Tb[IR],0),MATCH(U$1,ControlBits_Tb[#Headers],0))</f>
        <v>0</v>
      </c>
      <c r="V4" s="22">
        <f>INDEX(ControlBits_Tb[],MATCH($G4,ControlBits_Tb[IR],0),MATCH(V$1,ControlBits_Tb[#Headers],0))</f>
        <v>0</v>
      </c>
      <c r="W4" s="22">
        <f>INDEX(ControlBits_Tb[],MATCH($G4,ControlBits_Tb[IR],0),MATCH(W$1,ControlBits_Tb[#Headers],0))</f>
        <v>1</v>
      </c>
      <c r="X4" s="22">
        <f>INDEX(ControlBits_Tb[],MATCH($G4,ControlBits_Tb[IR],0),MATCH(X$1,ControlBits_Tb[#Headers],0))</f>
        <v>0</v>
      </c>
      <c r="Y4" s="22">
        <f>INDEX(ControlBits_Tb[],MATCH($G4,ControlBits_Tb[IR],0),MATCH(Y$1,ControlBits_Tb[#Headers],0))</f>
        <v>1</v>
      </c>
      <c r="Z4" s="22">
        <f>INDEX(ControlBits_Tb[],MATCH($G4,ControlBits_Tb[IR],0),MATCH(Z$1,ControlBits_Tb[#Headers],0))</f>
        <v>0</v>
      </c>
      <c r="AA4" s="22">
        <f>INDEX(ControlBits_Tb[],MATCH($G4,ControlBits_Tb[IR],0),MATCH(AA$1,ControlBits_Tb[#Headers],0))</f>
        <v>0</v>
      </c>
      <c r="AB4" s="22">
        <f>INDEX(ControlBits_Tb[],MATCH($G4,ControlBits_Tb[IR],0),MATCH(AB$1,ControlBits_Tb[#Headers],0))</f>
        <v>0</v>
      </c>
      <c r="AC4" s="22">
        <f>INDEX(ControlBits_Tb[],MATCH($G4,ControlBits_Tb[IR],0),MATCH(AC$1,ControlBits_Tb[#Headers],0))</f>
        <v>0</v>
      </c>
      <c r="AD4" s="22" t="str">
        <f>INDEX(ControlBits_Tb[],MATCH($G4,ControlBits_Tb[IR],0),MATCH(AD$1,ControlBits_Tb[#Headers],0))</f>
        <v>000050</v>
      </c>
      <c r="AE4" s="28" t="str">
        <f>Test[[#This Row],[16진수test]]</f>
        <v>000050</v>
      </c>
      <c r="AF4" s="29">
        <f t="shared" si="0"/>
        <v>1</v>
      </c>
      <c r="AG4" s="29">
        <f xml:space="preserve"> Test[[#This Row],[state]]</f>
        <v>7</v>
      </c>
      <c r="AH4" s="29">
        <f t="shared" ref="AH4:AH67" si="1">IF(F4=AG4,1,0)</f>
        <v>1</v>
      </c>
      <c r="AI4" s="1"/>
      <c r="AJ4" s="9"/>
    </row>
    <row r="5" spans="1:36">
      <c r="A5" s="39"/>
      <c r="B5" s="40"/>
      <c r="C5" s="40"/>
      <c r="D5" s="40"/>
      <c r="E5" s="40"/>
      <c r="F5" s="1">
        <v>8</v>
      </c>
      <c r="G5" s="9" t="s">
        <v>168</v>
      </c>
      <c r="H5" s="22">
        <f>INDEX(ControlBits_Tb[],MATCH($G5,ControlBits_Tb[IR],0),MATCH(H$1,ControlBits_Tb[#Headers],0))</f>
        <v>0</v>
      </c>
      <c r="I5" s="22">
        <f>INDEX(ControlBits_Tb[],MATCH($G5,ControlBits_Tb[IR],0),MATCH(I$1,ControlBits_Tb[#Headers],0))</f>
        <v>0</v>
      </c>
      <c r="J5" s="22">
        <f>INDEX(ControlBits_Tb[],MATCH($G5,ControlBits_Tb[IR],0),MATCH(J$1,ControlBits_Tb[#Headers],0))</f>
        <v>0</v>
      </c>
      <c r="K5" s="22">
        <f>INDEX(ControlBits_Tb[],MATCH($G5,ControlBits_Tb[IR],0),MATCH(K$1,ControlBits_Tb[#Headers],0))</f>
        <v>0</v>
      </c>
      <c r="L5" s="22">
        <f>INDEX(ControlBits_Tb[],MATCH($G5,ControlBits_Tb[IR],0),MATCH(L$1,ControlBits_Tb[#Headers],0))</f>
        <v>0</v>
      </c>
      <c r="M5" s="22">
        <f>INDEX(ControlBits_Tb[],MATCH($G5,ControlBits_Tb[IR],0),MATCH(M$1,ControlBits_Tb[#Headers],0))</f>
        <v>0</v>
      </c>
      <c r="N5" s="22">
        <f>INDEX(ControlBits_Tb[],MATCH($G5,ControlBits_Tb[IR],0),MATCH(N$1,ControlBits_Tb[#Headers],0))</f>
        <v>0</v>
      </c>
      <c r="O5" s="22">
        <f>INDEX(ControlBits_Tb[],MATCH($G5,ControlBits_Tb[IR],0),MATCH(O$1,ControlBits_Tb[#Headers],0))</f>
        <v>0</v>
      </c>
      <c r="P5" s="22">
        <f>INDEX(ControlBits_Tb[],MATCH($G5,ControlBits_Tb[IR],0),MATCH(P$1,ControlBits_Tb[#Headers],0))</f>
        <v>1</v>
      </c>
      <c r="Q5" s="22">
        <f>INDEX(ControlBits_Tb[],MATCH($G5,ControlBits_Tb[IR],0),MATCH(Q$1,ControlBits_Tb[#Headers],0))</f>
        <v>0</v>
      </c>
      <c r="R5" s="22">
        <f>INDEX(ControlBits_Tb[],MATCH($G5,ControlBits_Tb[IR],0),MATCH(R$1,ControlBits_Tb[#Headers],0))</f>
        <v>1</v>
      </c>
      <c r="S5" s="22">
        <f>INDEX(ControlBits_Tb[],MATCH($G5,ControlBits_Tb[IR],0),MATCH(S$1,ControlBits_Tb[#Headers],0))</f>
        <v>1</v>
      </c>
      <c r="T5" s="22">
        <f>INDEX(ControlBits_Tb[],MATCH($G5,ControlBits_Tb[IR],0),MATCH(T$1,ControlBits_Tb[#Headers],0))</f>
        <v>0</v>
      </c>
      <c r="U5" s="22">
        <f>INDEX(ControlBits_Tb[],MATCH($G5,ControlBits_Tb[IR],0),MATCH(U$1,ControlBits_Tb[#Headers],0))</f>
        <v>0</v>
      </c>
      <c r="V5" s="22">
        <f>INDEX(ControlBits_Tb[],MATCH($G5,ControlBits_Tb[IR],0),MATCH(V$1,ControlBits_Tb[#Headers],0))</f>
        <v>0</v>
      </c>
      <c r="W5" s="22">
        <f>INDEX(ControlBits_Tb[],MATCH($G5,ControlBits_Tb[IR],0),MATCH(W$1,ControlBits_Tb[#Headers],0))</f>
        <v>0</v>
      </c>
      <c r="X5" s="22">
        <f>INDEX(ControlBits_Tb[],MATCH($G5,ControlBits_Tb[IR],0),MATCH(X$1,ControlBits_Tb[#Headers],0))</f>
        <v>0</v>
      </c>
      <c r="Y5" s="22">
        <f>INDEX(ControlBits_Tb[],MATCH($G5,ControlBits_Tb[IR],0),MATCH(Y$1,ControlBits_Tb[#Headers],0))</f>
        <v>0</v>
      </c>
      <c r="Z5" s="22">
        <f>INDEX(ControlBits_Tb[],MATCH($G5,ControlBits_Tb[IR],0),MATCH(Z$1,ControlBits_Tb[#Headers],0))</f>
        <v>0</v>
      </c>
      <c r="AA5" s="22">
        <f>INDEX(ControlBits_Tb[],MATCH($G5,ControlBits_Tb[IR],0),MATCH(AA$1,ControlBits_Tb[#Headers],0))</f>
        <v>0</v>
      </c>
      <c r="AB5" s="22">
        <f>INDEX(ControlBits_Tb[],MATCH($G5,ControlBits_Tb[IR],0),MATCH(AB$1,ControlBits_Tb[#Headers],0))</f>
        <v>0</v>
      </c>
      <c r="AC5" s="22">
        <f>INDEX(ControlBits_Tb[],MATCH($G5,ControlBits_Tb[IR],0),MATCH(AC$1,ControlBits_Tb[#Headers],0))</f>
        <v>0</v>
      </c>
      <c r="AD5" s="22" t="str">
        <f>INDEX(ControlBits_Tb[],MATCH($G5,ControlBits_Tb[IR],0),MATCH(AD$1,ControlBits_Tb[#Headers],0))</f>
        <v>002c00</v>
      </c>
      <c r="AE5" s="28" t="str">
        <f>Test[[#This Row],[16진수test]]</f>
        <v>002C00</v>
      </c>
      <c r="AF5" s="29">
        <f t="shared" si="0"/>
        <v>1</v>
      </c>
      <c r="AG5" s="29">
        <f xml:space="preserve"> Test[[#This Row],[state]]</f>
        <v>8</v>
      </c>
      <c r="AH5" s="29">
        <f t="shared" si="1"/>
        <v>1</v>
      </c>
      <c r="AI5" s="1"/>
      <c r="AJ5" s="9"/>
    </row>
    <row r="6" spans="1:36">
      <c r="A6" s="39">
        <v>1</v>
      </c>
      <c r="B6" s="40" t="s">
        <v>124</v>
      </c>
      <c r="C6" s="40" t="s">
        <v>123</v>
      </c>
      <c r="D6" s="40" t="s">
        <v>66</v>
      </c>
      <c r="E6" s="40">
        <v>100001</v>
      </c>
      <c r="F6" s="1">
        <v>0</v>
      </c>
      <c r="G6" s="7" t="s">
        <v>26</v>
      </c>
      <c r="H6" s="22">
        <f>INDEX(ControlBits_Tb[],MATCH($G6,ControlBits_Tb[IR],0),MATCH(H$1,ControlBits_Tb[#Headers],0))</f>
        <v>0</v>
      </c>
      <c r="I6" s="22">
        <f>INDEX(ControlBits_Tb[],MATCH($G6,ControlBits_Tb[IR],0),MATCH(I$1,ControlBits_Tb[#Headers],0))</f>
        <v>1</v>
      </c>
      <c r="J6" s="22">
        <f>INDEX(ControlBits_Tb[],MATCH($G6,ControlBits_Tb[IR],0),MATCH(J$1,ControlBits_Tb[#Headers],0))</f>
        <v>1</v>
      </c>
      <c r="K6" s="22">
        <f>INDEX(ControlBits_Tb[],MATCH($G6,ControlBits_Tb[IR],0),MATCH(K$1,ControlBits_Tb[#Headers],0))</f>
        <v>1</v>
      </c>
      <c r="L6" s="22">
        <f>INDEX(ControlBits_Tb[],MATCH($G6,ControlBits_Tb[IR],0),MATCH(L$1,ControlBits_Tb[#Headers],0))</f>
        <v>0</v>
      </c>
      <c r="M6" s="22">
        <f>INDEX(ControlBits_Tb[],MATCH($G6,ControlBits_Tb[IR],0),MATCH(M$1,ControlBits_Tb[#Headers],0))</f>
        <v>1</v>
      </c>
      <c r="N6" s="22">
        <f>INDEX(ControlBits_Tb[],MATCH($G6,ControlBits_Tb[IR],0),MATCH(N$1,ControlBits_Tb[#Headers],0))</f>
        <v>0</v>
      </c>
      <c r="O6" s="22">
        <f>INDEX(ControlBits_Tb[],MATCH($G6,ControlBits_Tb[IR],0),MATCH(O$1,ControlBits_Tb[#Headers],0))</f>
        <v>1</v>
      </c>
      <c r="P6" s="22">
        <f>INDEX(ControlBits_Tb[],MATCH($G6,ControlBits_Tb[IR],0),MATCH(P$1,ControlBits_Tb[#Headers],0))</f>
        <v>0</v>
      </c>
      <c r="Q6" s="22">
        <f>INDEX(ControlBits_Tb[],MATCH($G6,ControlBits_Tb[IR],0),MATCH(Q$1,ControlBits_Tb[#Headers],0))</f>
        <v>0</v>
      </c>
      <c r="R6" s="22">
        <f>INDEX(ControlBits_Tb[],MATCH($G6,ControlBits_Tb[IR],0),MATCH(R$1,ControlBits_Tb[#Headers],0))</f>
        <v>0</v>
      </c>
      <c r="S6" s="22">
        <f>INDEX(ControlBits_Tb[],MATCH($G6,ControlBits_Tb[IR],0),MATCH(S$1,ControlBits_Tb[#Headers],0))</f>
        <v>0</v>
      </c>
      <c r="T6" s="22">
        <f>INDEX(ControlBits_Tb[],MATCH($G6,ControlBits_Tb[IR],0),MATCH(T$1,ControlBits_Tb[#Headers],0))</f>
        <v>0</v>
      </c>
      <c r="U6" s="22">
        <f>INDEX(ControlBits_Tb[],MATCH($G6,ControlBits_Tb[IR],0),MATCH(U$1,ControlBits_Tb[#Headers],0))</f>
        <v>0</v>
      </c>
      <c r="V6" s="22">
        <f>INDEX(ControlBits_Tb[],MATCH($G6,ControlBits_Tb[IR],0),MATCH(V$1,ControlBits_Tb[#Headers],0))</f>
        <v>0</v>
      </c>
      <c r="W6" s="22">
        <f>INDEX(ControlBits_Tb[],MATCH($G6,ControlBits_Tb[IR],0),MATCH(W$1,ControlBits_Tb[#Headers],0))</f>
        <v>0</v>
      </c>
      <c r="X6" s="22">
        <f>INDEX(ControlBits_Tb[],MATCH($G6,ControlBits_Tb[IR],0),MATCH(X$1,ControlBits_Tb[#Headers],0))</f>
        <v>0</v>
      </c>
      <c r="Y6" s="22">
        <f>INDEX(ControlBits_Tb[],MATCH($G6,ControlBits_Tb[IR],0),MATCH(Y$1,ControlBits_Tb[#Headers],0))</f>
        <v>0</v>
      </c>
      <c r="Z6" s="22">
        <f>INDEX(ControlBits_Tb[],MATCH($G6,ControlBits_Tb[IR],0),MATCH(Z$1,ControlBits_Tb[#Headers],0))</f>
        <v>0</v>
      </c>
      <c r="AA6" s="22">
        <f>INDEX(ControlBits_Tb[],MATCH($G6,ControlBits_Tb[IR],0),MATCH(AA$1,ControlBits_Tb[#Headers],0))</f>
        <v>0</v>
      </c>
      <c r="AB6" s="22">
        <f>INDEX(ControlBits_Tb[],MATCH($G6,ControlBits_Tb[IR],0),MATCH(AB$1,ControlBits_Tb[#Headers],0))</f>
        <v>0</v>
      </c>
      <c r="AC6" s="22">
        <f>INDEX(ControlBits_Tb[],MATCH($G6,ControlBits_Tb[IR],0),MATCH(AC$1,ControlBits_Tb[#Headers],0))</f>
        <v>0</v>
      </c>
      <c r="AD6" s="22" t="str">
        <f>INDEX(ControlBits_Tb[],MATCH($G6,ControlBits_Tb[IR],0),MATCH(AD$1,ControlBits_Tb[#Headers],0))</f>
        <v>1d4000</v>
      </c>
      <c r="AE6" s="28" t="str">
        <f>Test[[#This Row],[16진수test]]</f>
        <v>1D4000</v>
      </c>
      <c r="AF6" s="29">
        <f t="shared" si="0"/>
        <v>1</v>
      </c>
      <c r="AG6" s="29">
        <f xml:space="preserve"> Test[[#This Row],[state]]</f>
        <v>0</v>
      </c>
      <c r="AH6" s="29">
        <f t="shared" si="1"/>
        <v>1</v>
      </c>
      <c r="AI6" s="1"/>
      <c r="AJ6" s="1" t="s">
        <v>84</v>
      </c>
    </row>
    <row r="7" spans="1:36">
      <c r="A7" s="39"/>
      <c r="B7" s="40"/>
      <c r="C7" s="40"/>
      <c r="D7" s="40"/>
      <c r="E7" s="40"/>
      <c r="F7" s="1">
        <v>1</v>
      </c>
      <c r="G7" s="7" t="s">
        <v>137</v>
      </c>
      <c r="H7" s="22">
        <f>INDEX(ControlBits_Tb[],MATCH($G7,ControlBits_Tb[IR],0),MATCH(H$1,ControlBits_Tb[#Headers],0))</f>
        <v>0</v>
      </c>
      <c r="I7" s="22">
        <f>INDEX(ControlBits_Tb[],MATCH($G7,ControlBits_Tb[IR],0),MATCH(I$1,ControlBits_Tb[#Headers],0))</f>
        <v>0</v>
      </c>
      <c r="J7" s="22">
        <f>INDEX(ControlBits_Tb[],MATCH($G7,ControlBits_Tb[IR],0),MATCH(J$1,ControlBits_Tb[#Headers],0))</f>
        <v>0</v>
      </c>
      <c r="K7" s="22">
        <f>INDEX(ControlBits_Tb[],MATCH($G7,ControlBits_Tb[IR],0),MATCH(K$1,ControlBits_Tb[#Headers],0))</f>
        <v>0</v>
      </c>
      <c r="L7" s="22">
        <f>INDEX(ControlBits_Tb[],MATCH($G7,ControlBits_Tb[IR],0),MATCH(L$1,ControlBits_Tb[#Headers],0))</f>
        <v>0</v>
      </c>
      <c r="M7" s="22">
        <f>INDEX(ControlBits_Tb[],MATCH($G7,ControlBits_Tb[IR],0),MATCH(M$1,ControlBits_Tb[#Headers],0))</f>
        <v>0</v>
      </c>
      <c r="N7" s="22">
        <f>INDEX(ControlBits_Tb[],MATCH($G7,ControlBits_Tb[IR],0),MATCH(N$1,ControlBits_Tb[#Headers],0))</f>
        <v>0</v>
      </c>
      <c r="O7" s="22">
        <f>INDEX(ControlBits_Tb[],MATCH($G7,ControlBits_Tb[IR],0),MATCH(O$1,ControlBits_Tb[#Headers],0))</f>
        <v>0</v>
      </c>
      <c r="P7" s="22">
        <f>INDEX(ControlBits_Tb[],MATCH($G7,ControlBits_Tb[IR],0),MATCH(P$1,ControlBits_Tb[#Headers],0))</f>
        <v>0</v>
      </c>
      <c r="Q7" s="22">
        <f>INDEX(ControlBits_Tb[],MATCH($G7,ControlBits_Tb[IR],0),MATCH(Q$1,ControlBits_Tb[#Headers],0))</f>
        <v>0</v>
      </c>
      <c r="R7" s="22">
        <f>INDEX(ControlBits_Tb[],MATCH($G7,ControlBits_Tb[IR],0),MATCH(R$1,ControlBits_Tb[#Headers],0))</f>
        <v>0</v>
      </c>
      <c r="S7" s="22">
        <f>INDEX(ControlBits_Tb[],MATCH($G7,ControlBits_Tb[IR],0),MATCH(S$1,ControlBits_Tb[#Headers],0))</f>
        <v>0</v>
      </c>
      <c r="T7" s="22">
        <f>INDEX(ControlBits_Tb[],MATCH($G7,ControlBits_Tb[IR],0),MATCH(T$1,ControlBits_Tb[#Headers],0))</f>
        <v>0</v>
      </c>
      <c r="U7" s="22">
        <f>INDEX(ControlBits_Tb[],MATCH($G7,ControlBits_Tb[IR],0),MATCH(U$1,ControlBits_Tb[#Headers],0))</f>
        <v>0</v>
      </c>
      <c r="V7" s="22">
        <f>INDEX(ControlBits_Tb[],MATCH($G7,ControlBits_Tb[IR],0),MATCH(V$1,ControlBits_Tb[#Headers],0))</f>
        <v>0</v>
      </c>
      <c r="W7" s="22">
        <f>INDEX(ControlBits_Tb[],MATCH($G7,ControlBits_Tb[IR],0),MATCH(W$1,ControlBits_Tb[#Headers],0))</f>
        <v>0</v>
      </c>
      <c r="X7" s="22">
        <f>INDEX(ControlBits_Tb[],MATCH($G7,ControlBits_Tb[IR],0),MATCH(X$1,ControlBits_Tb[#Headers],0))</f>
        <v>1</v>
      </c>
      <c r="Y7" s="22">
        <f>INDEX(ControlBits_Tb[],MATCH($G7,ControlBits_Tb[IR],0),MATCH(Y$1,ControlBits_Tb[#Headers],0))</f>
        <v>1</v>
      </c>
      <c r="Z7" s="22">
        <f>INDEX(ControlBits_Tb[],MATCH($G7,ControlBits_Tb[IR],0),MATCH(Z$1,ControlBits_Tb[#Headers],0))</f>
        <v>0</v>
      </c>
      <c r="AA7" s="22">
        <f>INDEX(ControlBits_Tb[],MATCH($G7,ControlBits_Tb[IR],0),MATCH(AA$1,ControlBits_Tb[#Headers],0))</f>
        <v>0</v>
      </c>
      <c r="AB7" s="22">
        <f>INDEX(ControlBits_Tb[],MATCH($G7,ControlBits_Tb[IR],0),MATCH(AB$1,ControlBits_Tb[#Headers],0))</f>
        <v>0</v>
      </c>
      <c r="AC7" s="22">
        <f>INDEX(ControlBits_Tb[],MATCH($G7,ControlBits_Tb[IR],0),MATCH(AC$1,ControlBits_Tb[#Headers],0))</f>
        <v>0</v>
      </c>
      <c r="AD7" s="22" t="str">
        <f>INDEX(ControlBits_Tb[],MATCH($G7,ControlBits_Tb[IR],0),MATCH(AD$1,ControlBits_Tb[#Headers],0))</f>
        <v>000030</v>
      </c>
      <c r="AE7" s="28" t="str">
        <f>Test[[#This Row],[16진수test]]</f>
        <v>000030</v>
      </c>
      <c r="AF7" s="29">
        <f t="shared" si="0"/>
        <v>1</v>
      </c>
      <c r="AG7" s="29">
        <f xml:space="preserve"> Test[[#This Row],[state]]</f>
        <v>1</v>
      </c>
      <c r="AH7" s="29">
        <f t="shared" si="1"/>
        <v>1</v>
      </c>
      <c r="AI7" s="1"/>
      <c r="AJ7" s="1" t="s">
        <v>84</v>
      </c>
    </row>
    <row r="8" spans="1:36">
      <c r="A8" s="39"/>
      <c r="B8" s="40"/>
      <c r="C8" s="40"/>
      <c r="D8" s="40"/>
      <c r="E8" s="40"/>
      <c r="F8" s="1">
        <v>7</v>
      </c>
      <c r="G8" s="9" t="s">
        <v>124</v>
      </c>
      <c r="H8" s="22">
        <f>INDEX(ControlBits_Tb[],MATCH($G8,ControlBits_Tb[IR],0),MATCH(H$1,ControlBits_Tb[#Headers],0))</f>
        <v>0</v>
      </c>
      <c r="I8" s="22">
        <f>INDEX(ControlBits_Tb[],MATCH($G8,ControlBits_Tb[IR],0),MATCH(I$1,ControlBits_Tb[#Headers],0))</f>
        <v>0</v>
      </c>
      <c r="J8" s="22">
        <f>INDEX(ControlBits_Tb[],MATCH($G8,ControlBits_Tb[IR],0),MATCH(J$1,ControlBits_Tb[#Headers],0))</f>
        <v>0</v>
      </c>
      <c r="K8" s="22">
        <f>INDEX(ControlBits_Tb[],MATCH($G8,ControlBits_Tb[IR],0),MATCH(K$1,ControlBits_Tb[#Headers],0))</f>
        <v>0</v>
      </c>
      <c r="L8" s="22">
        <f>INDEX(ControlBits_Tb[],MATCH($G8,ControlBits_Tb[IR],0),MATCH(L$1,ControlBits_Tb[#Headers],0))</f>
        <v>0</v>
      </c>
      <c r="M8" s="22">
        <f>INDEX(ControlBits_Tb[],MATCH($G8,ControlBits_Tb[IR],0),MATCH(M$1,ControlBits_Tb[#Headers],0))</f>
        <v>0</v>
      </c>
      <c r="N8" s="22">
        <f>INDEX(ControlBits_Tb[],MATCH($G8,ControlBits_Tb[IR],0),MATCH(N$1,ControlBits_Tb[#Headers],0))</f>
        <v>0</v>
      </c>
      <c r="O8" s="22">
        <f>INDEX(ControlBits_Tb[],MATCH($G8,ControlBits_Tb[IR],0),MATCH(O$1,ControlBits_Tb[#Headers],0))</f>
        <v>0</v>
      </c>
      <c r="P8" s="22">
        <f>INDEX(ControlBits_Tb[],MATCH($G8,ControlBits_Tb[IR],0),MATCH(P$1,ControlBits_Tb[#Headers],0))</f>
        <v>0</v>
      </c>
      <c r="Q8" s="22">
        <f>INDEX(ControlBits_Tb[],MATCH($G8,ControlBits_Tb[IR],0),MATCH(Q$1,ControlBits_Tb[#Headers],0))</f>
        <v>0</v>
      </c>
      <c r="R8" s="22">
        <f>INDEX(ControlBits_Tb[],MATCH($G8,ControlBits_Tb[IR],0),MATCH(R$1,ControlBits_Tb[#Headers],0))</f>
        <v>0</v>
      </c>
      <c r="S8" s="22">
        <f>INDEX(ControlBits_Tb[],MATCH($G8,ControlBits_Tb[IR],0),MATCH(S$1,ControlBits_Tb[#Headers],0))</f>
        <v>0</v>
      </c>
      <c r="T8" s="22">
        <f>INDEX(ControlBits_Tb[],MATCH($G8,ControlBits_Tb[IR],0),MATCH(T$1,ControlBits_Tb[#Headers],0))</f>
        <v>0</v>
      </c>
      <c r="U8" s="22">
        <f>INDEX(ControlBits_Tb[],MATCH($G8,ControlBits_Tb[IR],0),MATCH(U$1,ControlBits_Tb[#Headers],0))</f>
        <v>0</v>
      </c>
      <c r="V8" s="22">
        <f>INDEX(ControlBits_Tb[],MATCH($G8,ControlBits_Tb[IR],0),MATCH(V$1,ControlBits_Tb[#Headers],0))</f>
        <v>0</v>
      </c>
      <c r="W8" s="22">
        <f>INDEX(ControlBits_Tb[],MATCH($G8,ControlBits_Tb[IR],0),MATCH(W$1,ControlBits_Tb[#Headers],0))</f>
        <v>1</v>
      </c>
      <c r="X8" s="22">
        <f>INDEX(ControlBits_Tb[],MATCH($G8,ControlBits_Tb[IR],0),MATCH(X$1,ControlBits_Tb[#Headers],0))</f>
        <v>0</v>
      </c>
      <c r="Y8" s="22">
        <f>INDEX(ControlBits_Tb[],MATCH($G8,ControlBits_Tb[IR],0),MATCH(Y$1,ControlBits_Tb[#Headers],0))</f>
        <v>1</v>
      </c>
      <c r="Z8" s="22">
        <f>INDEX(ControlBits_Tb[],MATCH($G8,ControlBits_Tb[IR],0),MATCH(Z$1,ControlBits_Tb[#Headers],0))</f>
        <v>0</v>
      </c>
      <c r="AA8" s="22">
        <f>INDEX(ControlBits_Tb[],MATCH($G8,ControlBits_Tb[IR],0),MATCH(AA$1,ControlBits_Tb[#Headers],0))</f>
        <v>1</v>
      </c>
      <c r="AB8" s="22">
        <f>INDEX(ControlBits_Tb[],MATCH($G8,ControlBits_Tb[IR],0),MATCH(AB$1,ControlBits_Tb[#Headers],0))</f>
        <v>0</v>
      </c>
      <c r="AC8" s="22">
        <f>INDEX(ControlBits_Tb[],MATCH($G8,ControlBits_Tb[IR],0),MATCH(AC$1,ControlBits_Tb[#Headers],0))</f>
        <v>0</v>
      </c>
      <c r="AD8" s="22" t="str">
        <f>INDEX(ControlBits_Tb[],MATCH($G8,ControlBits_Tb[IR],0),MATCH(AD$1,ControlBits_Tb[#Headers],0))</f>
        <v>000054</v>
      </c>
      <c r="AE8" s="28" t="str">
        <f>Test[[#This Row],[16진수test]]</f>
        <v>000054</v>
      </c>
      <c r="AF8" s="29">
        <f t="shared" si="0"/>
        <v>1</v>
      </c>
      <c r="AG8" s="29">
        <f xml:space="preserve"> Test[[#This Row],[state]]</f>
        <v>7</v>
      </c>
      <c r="AH8" s="29">
        <f t="shared" si="1"/>
        <v>1</v>
      </c>
      <c r="AI8" s="1"/>
      <c r="AJ8" s="1" t="s">
        <v>84</v>
      </c>
    </row>
    <row r="9" spans="1:36">
      <c r="A9" s="39"/>
      <c r="B9" s="40"/>
      <c r="C9" s="40"/>
      <c r="D9" s="40"/>
      <c r="E9" s="40"/>
      <c r="F9" s="1">
        <v>8</v>
      </c>
      <c r="G9" s="9" t="s">
        <v>168</v>
      </c>
      <c r="H9" s="22">
        <f>INDEX(ControlBits_Tb[],MATCH($G9,ControlBits_Tb[IR],0),MATCH(H$1,ControlBits_Tb[#Headers],0))</f>
        <v>0</v>
      </c>
      <c r="I9" s="22">
        <f>INDEX(ControlBits_Tb[],MATCH($G9,ControlBits_Tb[IR],0),MATCH(I$1,ControlBits_Tb[#Headers],0))</f>
        <v>0</v>
      </c>
      <c r="J9" s="22">
        <f>INDEX(ControlBits_Tb[],MATCH($G9,ControlBits_Tb[IR],0),MATCH(J$1,ControlBits_Tb[#Headers],0))</f>
        <v>0</v>
      </c>
      <c r="K9" s="22">
        <f>INDEX(ControlBits_Tb[],MATCH($G9,ControlBits_Tb[IR],0),MATCH(K$1,ControlBits_Tb[#Headers],0))</f>
        <v>0</v>
      </c>
      <c r="L9" s="22">
        <f>INDEX(ControlBits_Tb[],MATCH($G9,ControlBits_Tb[IR],0),MATCH(L$1,ControlBits_Tb[#Headers],0))</f>
        <v>0</v>
      </c>
      <c r="M9" s="22">
        <f>INDEX(ControlBits_Tb[],MATCH($G9,ControlBits_Tb[IR],0),MATCH(M$1,ControlBits_Tb[#Headers],0))</f>
        <v>0</v>
      </c>
      <c r="N9" s="22">
        <f>INDEX(ControlBits_Tb[],MATCH($G9,ControlBits_Tb[IR],0),MATCH(N$1,ControlBits_Tb[#Headers],0))</f>
        <v>0</v>
      </c>
      <c r="O9" s="22">
        <f>INDEX(ControlBits_Tb[],MATCH($G9,ControlBits_Tb[IR],0),MATCH(O$1,ControlBits_Tb[#Headers],0))</f>
        <v>0</v>
      </c>
      <c r="P9" s="22">
        <f>INDEX(ControlBits_Tb[],MATCH($G9,ControlBits_Tb[IR],0),MATCH(P$1,ControlBits_Tb[#Headers],0))</f>
        <v>1</v>
      </c>
      <c r="Q9" s="22">
        <f>INDEX(ControlBits_Tb[],MATCH($G9,ControlBits_Tb[IR],0),MATCH(Q$1,ControlBits_Tb[#Headers],0))</f>
        <v>0</v>
      </c>
      <c r="R9" s="22">
        <f>INDEX(ControlBits_Tb[],MATCH($G9,ControlBits_Tb[IR],0),MATCH(R$1,ControlBits_Tb[#Headers],0))</f>
        <v>1</v>
      </c>
      <c r="S9" s="22">
        <f>INDEX(ControlBits_Tb[],MATCH($G9,ControlBits_Tb[IR],0),MATCH(S$1,ControlBits_Tb[#Headers],0))</f>
        <v>1</v>
      </c>
      <c r="T9" s="22">
        <f>INDEX(ControlBits_Tb[],MATCH($G9,ControlBits_Tb[IR],0),MATCH(T$1,ControlBits_Tb[#Headers],0))</f>
        <v>0</v>
      </c>
      <c r="U9" s="22">
        <f>INDEX(ControlBits_Tb[],MATCH($G9,ControlBits_Tb[IR],0),MATCH(U$1,ControlBits_Tb[#Headers],0))</f>
        <v>0</v>
      </c>
      <c r="V9" s="22">
        <f>INDEX(ControlBits_Tb[],MATCH($G9,ControlBits_Tb[IR],0),MATCH(V$1,ControlBits_Tb[#Headers],0))</f>
        <v>0</v>
      </c>
      <c r="W9" s="22">
        <f>INDEX(ControlBits_Tb[],MATCH($G9,ControlBits_Tb[IR],0),MATCH(W$1,ControlBits_Tb[#Headers],0))</f>
        <v>0</v>
      </c>
      <c r="X9" s="22">
        <f>INDEX(ControlBits_Tb[],MATCH($G9,ControlBits_Tb[IR],0),MATCH(X$1,ControlBits_Tb[#Headers],0))</f>
        <v>0</v>
      </c>
      <c r="Y9" s="22">
        <f>INDEX(ControlBits_Tb[],MATCH($G9,ControlBits_Tb[IR],0),MATCH(Y$1,ControlBits_Tb[#Headers],0))</f>
        <v>0</v>
      </c>
      <c r="Z9" s="22">
        <f>INDEX(ControlBits_Tb[],MATCH($G9,ControlBits_Tb[IR],0),MATCH(Z$1,ControlBits_Tb[#Headers],0))</f>
        <v>0</v>
      </c>
      <c r="AA9" s="22">
        <f>INDEX(ControlBits_Tb[],MATCH($G9,ControlBits_Tb[IR],0),MATCH(AA$1,ControlBits_Tb[#Headers],0))</f>
        <v>0</v>
      </c>
      <c r="AB9" s="22">
        <f>INDEX(ControlBits_Tb[],MATCH($G9,ControlBits_Tb[IR],0),MATCH(AB$1,ControlBits_Tb[#Headers],0))</f>
        <v>0</v>
      </c>
      <c r="AC9" s="22">
        <f>INDEX(ControlBits_Tb[],MATCH($G9,ControlBits_Tb[IR],0),MATCH(AC$1,ControlBits_Tb[#Headers],0))</f>
        <v>0</v>
      </c>
      <c r="AD9" s="22" t="str">
        <f>INDEX(ControlBits_Tb[],MATCH($G9,ControlBits_Tb[IR],0),MATCH(AD$1,ControlBits_Tb[#Headers],0))</f>
        <v>002c00</v>
      </c>
      <c r="AE9" s="28" t="str">
        <f>Test[[#This Row],[16진수test]]</f>
        <v>002C00</v>
      </c>
      <c r="AF9" s="29">
        <f t="shared" si="0"/>
        <v>1</v>
      </c>
      <c r="AG9" s="29">
        <f xml:space="preserve"> Test[[#This Row],[state]]</f>
        <v>8</v>
      </c>
      <c r="AH9" s="29">
        <f t="shared" si="1"/>
        <v>1</v>
      </c>
      <c r="AI9" s="1"/>
      <c r="AJ9" s="1" t="s">
        <v>84</v>
      </c>
    </row>
    <row r="10" spans="1:36">
      <c r="A10" s="39">
        <v>2</v>
      </c>
      <c r="B10" s="40" t="s">
        <v>125</v>
      </c>
      <c r="C10" s="40" t="s">
        <v>123</v>
      </c>
      <c r="D10" s="40" t="s">
        <v>66</v>
      </c>
      <c r="E10" s="40">
        <v>100100</v>
      </c>
      <c r="F10" s="1">
        <v>0</v>
      </c>
      <c r="G10" s="7" t="s">
        <v>26</v>
      </c>
      <c r="H10" s="22">
        <f>INDEX(ControlBits_Tb[],MATCH($G10,ControlBits_Tb[IR],0),MATCH(H$1,ControlBits_Tb[#Headers],0))</f>
        <v>0</v>
      </c>
      <c r="I10" s="22">
        <f>INDEX(ControlBits_Tb[],MATCH($G10,ControlBits_Tb[IR],0),MATCH(I$1,ControlBits_Tb[#Headers],0))</f>
        <v>1</v>
      </c>
      <c r="J10" s="22">
        <f>INDEX(ControlBits_Tb[],MATCH($G10,ControlBits_Tb[IR],0),MATCH(J$1,ControlBits_Tb[#Headers],0))</f>
        <v>1</v>
      </c>
      <c r="K10" s="22">
        <f>INDEX(ControlBits_Tb[],MATCH($G10,ControlBits_Tb[IR],0),MATCH(K$1,ControlBits_Tb[#Headers],0))</f>
        <v>1</v>
      </c>
      <c r="L10" s="22">
        <f>INDEX(ControlBits_Tb[],MATCH($G10,ControlBits_Tb[IR],0),MATCH(L$1,ControlBits_Tb[#Headers],0))</f>
        <v>0</v>
      </c>
      <c r="M10" s="22">
        <f>INDEX(ControlBits_Tb[],MATCH($G10,ControlBits_Tb[IR],0),MATCH(M$1,ControlBits_Tb[#Headers],0))</f>
        <v>1</v>
      </c>
      <c r="N10" s="22">
        <f>INDEX(ControlBits_Tb[],MATCH($G10,ControlBits_Tb[IR],0),MATCH(N$1,ControlBits_Tb[#Headers],0))</f>
        <v>0</v>
      </c>
      <c r="O10" s="22">
        <f>INDEX(ControlBits_Tb[],MATCH($G10,ControlBits_Tb[IR],0),MATCH(O$1,ControlBits_Tb[#Headers],0))</f>
        <v>1</v>
      </c>
      <c r="P10" s="22">
        <f>INDEX(ControlBits_Tb[],MATCH($G10,ControlBits_Tb[IR],0),MATCH(P$1,ControlBits_Tb[#Headers],0))</f>
        <v>0</v>
      </c>
      <c r="Q10" s="22">
        <f>INDEX(ControlBits_Tb[],MATCH($G10,ControlBits_Tb[IR],0),MATCH(Q$1,ControlBits_Tb[#Headers],0))</f>
        <v>0</v>
      </c>
      <c r="R10" s="22">
        <f>INDEX(ControlBits_Tb[],MATCH($G10,ControlBits_Tb[IR],0),MATCH(R$1,ControlBits_Tb[#Headers],0))</f>
        <v>0</v>
      </c>
      <c r="S10" s="22">
        <f>INDEX(ControlBits_Tb[],MATCH($G10,ControlBits_Tb[IR],0),MATCH(S$1,ControlBits_Tb[#Headers],0))</f>
        <v>0</v>
      </c>
      <c r="T10" s="22">
        <f>INDEX(ControlBits_Tb[],MATCH($G10,ControlBits_Tb[IR],0),MATCH(T$1,ControlBits_Tb[#Headers],0))</f>
        <v>0</v>
      </c>
      <c r="U10" s="22">
        <f>INDEX(ControlBits_Tb[],MATCH($G10,ControlBits_Tb[IR],0),MATCH(U$1,ControlBits_Tb[#Headers],0))</f>
        <v>0</v>
      </c>
      <c r="V10" s="22">
        <f>INDEX(ControlBits_Tb[],MATCH($G10,ControlBits_Tb[IR],0),MATCH(V$1,ControlBits_Tb[#Headers],0))</f>
        <v>0</v>
      </c>
      <c r="W10" s="22">
        <f>INDEX(ControlBits_Tb[],MATCH($G10,ControlBits_Tb[IR],0),MATCH(W$1,ControlBits_Tb[#Headers],0))</f>
        <v>0</v>
      </c>
      <c r="X10" s="22">
        <f>INDEX(ControlBits_Tb[],MATCH($G10,ControlBits_Tb[IR],0),MATCH(X$1,ControlBits_Tb[#Headers],0))</f>
        <v>0</v>
      </c>
      <c r="Y10" s="22">
        <f>INDEX(ControlBits_Tb[],MATCH($G10,ControlBits_Tb[IR],0),MATCH(Y$1,ControlBits_Tb[#Headers],0))</f>
        <v>0</v>
      </c>
      <c r="Z10" s="22">
        <f>INDEX(ControlBits_Tb[],MATCH($G10,ControlBits_Tb[IR],0),MATCH(Z$1,ControlBits_Tb[#Headers],0))</f>
        <v>0</v>
      </c>
      <c r="AA10" s="22">
        <f>INDEX(ControlBits_Tb[],MATCH($G10,ControlBits_Tb[IR],0),MATCH(AA$1,ControlBits_Tb[#Headers],0))</f>
        <v>0</v>
      </c>
      <c r="AB10" s="22">
        <f>INDEX(ControlBits_Tb[],MATCH($G10,ControlBits_Tb[IR],0),MATCH(AB$1,ControlBits_Tb[#Headers],0))</f>
        <v>0</v>
      </c>
      <c r="AC10" s="22">
        <f>INDEX(ControlBits_Tb[],MATCH($G10,ControlBits_Tb[IR],0),MATCH(AC$1,ControlBits_Tb[#Headers],0))</f>
        <v>0</v>
      </c>
      <c r="AD10" s="22" t="str">
        <f>INDEX(ControlBits_Tb[],MATCH($G10,ControlBits_Tb[IR],0),MATCH(AD$1,ControlBits_Tb[#Headers],0))</f>
        <v>1d4000</v>
      </c>
      <c r="AE10" s="28" t="str">
        <f>Test[[#This Row],[16진수test]]</f>
        <v>1D4000</v>
      </c>
      <c r="AF10" s="29">
        <f t="shared" si="0"/>
        <v>1</v>
      </c>
      <c r="AG10" s="29">
        <f xml:space="preserve"> Test[[#This Row],[state]]</f>
        <v>0</v>
      </c>
      <c r="AH10" s="29">
        <f t="shared" si="1"/>
        <v>1</v>
      </c>
      <c r="AI10" s="1"/>
      <c r="AJ10" s="9"/>
    </row>
    <row r="11" spans="1:36">
      <c r="A11" s="39"/>
      <c r="B11" s="40"/>
      <c r="C11" s="40"/>
      <c r="D11" s="40"/>
      <c r="E11" s="40"/>
      <c r="F11" s="1">
        <v>1</v>
      </c>
      <c r="G11" s="7" t="s">
        <v>137</v>
      </c>
      <c r="H11" s="22">
        <f>INDEX(ControlBits_Tb[],MATCH($G11,ControlBits_Tb[IR],0),MATCH(H$1,ControlBits_Tb[#Headers],0))</f>
        <v>0</v>
      </c>
      <c r="I11" s="22">
        <f>INDEX(ControlBits_Tb[],MATCH($G11,ControlBits_Tb[IR],0),MATCH(I$1,ControlBits_Tb[#Headers],0))</f>
        <v>0</v>
      </c>
      <c r="J11" s="22">
        <f>INDEX(ControlBits_Tb[],MATCH($G11,ControlBits_Tb[IR],0),MATCH(J$1,ControlBits_Tb[#Headers],0))</f>
        <v>0</v>
      </c>
      <c r="K11" s="22">
        <f>INDEX(ControlBits_Tb[],MATCH($G11,ControlBits_Tb[IR],0),MATCH(K$1,ControlBits_Tb[#Headers],0))</f>
        <v>0</v>
      </c>
      <c r="L11" s="22">
        <f>INDEX(ControlBits_Tb[],MATCH($G11,ControlBits_Tb[IR],0),MATCH(L$1,ControlBits_Tb[#Headers],0))</f>
        <v>0</v>
      </c>
      <c r="M11" s="22">
        <f>INDEX(ControlBits_Tb[],MATCH($G11,ControlBits_Tb[IR],0),MATCH(M$1,ControlBits_Tb[#Headers],0))</f>
        <v>0</v>
      </c>
      <c r="N11" s="22">
        <f>INDEX(ControlBits_Tb[],MATCH($G11,ControlBits_Tb[IR],0),MATCH(N$1,ControlBits_Tb[#Headers],0))</f>
        <v>0</v>
      </c>
      <c r="O11" s="22">
        <f>INDEX(ControlBits_Tb[],MATCH($G11,ControlBits_Tb[IR],0),MATCH(O$1,ControlBits_Tb[#Headers],0))</f>
        <v>0</v>
      </c>
      <c r="P11" s="22">
        <f>INDEX(ControlBits_Tb[],MATCH($G11,ControlBits_Tb[IR],0),MATCH(P$1,ControlBits_Tb[#Headers],0))</f>
        <v>0</v>
      </c>
      <c r="Q11" s="22">
        <f>INDEX(ControlBits_Tb[],MATCH($G11,ControlBits_Tb[IR],0),MATCH(Q$1,ControlBits_Tb[#Headers],0))</f>
        <v>0</v>
      </c>
      <c r="R11" s="22">
        <f>INDEX(ControlBits_Tb[],MATCH($G11,ControlBits_Tb[IR],0),MATCH(R$1,ControlBits_Tb[#Headers],0))</f>
        <v>0</v>
      </c>
      <c r="S11" s="22">
        <f>INDEX(ControlBits_Tb[],MATCH($G11,ControlBits_Tb[IR],0),MATCH(S$1,ControlBits_Tb[#Headers],0))</f>
        <v>0</v>
      </c>
      <c r="T11" s="22">
        <f>INDEX(ControlBits_Tb[],MATCH($G11,ControlBits_Tb[IR],0),MATCH(T$1,ControlBits_Tb[#Headers],0))</f>
        <v>0</v>
      </c>
      <c r="U11" s="22">
        <f>INDEX(ControlBits_Tb[],MATCH($G11,ControlBits_Tb[IR],0),MATCH(U$1,ControlBits_Tb[#Headers],0))</f>
        <v>0</v>
      </c>
      <c r="V11" s="22">
        <f>INDEX(ControlBits_Tb[],MATCH($G11,ControlBits_Tb[IR],0),MATCH(V$1,ControlBits_Tb[#Headers],0))</f>
        <v>0</v>
      </c>
      <c r="W11" s="22">
        <f>INDEX(ControlBits_Tb[],MATCH($G11,ControlBits_Tb[IR],0),MATCH(W$1,ControlBits_Tb[#Headers],0))</f>
        <v>0</v>
      </c>
      <c r="X11" s="22">
        <f>INDEX(ControlBits_Tb[],MATCH($G11,ControlBits_Tb[IR],0),MATCH(X$1,ControlBits_Tb[#Headers],0))</f>
        <v>1</v>
      </c>
      <c r="Y11" s="22">
        <f>INDEX(ControlBits_Tb[],MATCH($G11,ControlBits_Tb[IR],0),MATCH(Y$1,ControlBits_Tb[#Headers],0))</f>
        <v>1</v>
      </c>
      <c r="Z11" s="22">
        <f>INDEX(ControlBits_Tb[],MATCH($G11,ControlBits_Tb[IR],0),MATCH(Z$1,ControlBits_Tb[#Headers],0))</f>
        <v>0</v>
      </c>
      <c r="AA11" s="22">
        <f>INDEX(ControlBits_Tb[],MATCH($G11,ControlBits_Tb[IR],0),MATCH(AA$1,ControlBits_Tb[#Headers],0))</f>
        <v>0</v>
      </c>
      <c r="AB11" s="22">
        <f>INDEX(ControlBits_Tb[],MATCH($G11,ControlBits_Tb[IR],0),MATCH(AB$1,ControlBits_Tb[#Headers],0))</f>
        <v>0</v>
      </c>
      <c r="AC11" s="22">
        <f>INDEX(ControlBits_Tb[],MATCH($G11,ControlBits_Tb[IR],0),MATCH(AC$1,ControlBits_Tb[#Headers],0))</f>
        <v>0</v>
      </c>
      <c r="AD11" s="22" t="str">
        <f>INDEX(ControlBits_Tb[],MATCH($G11,ControlBits_Tb[IR],0),MATCH(AD$1,ControlBits_Tb[#Headers],0))</f>
        <v>000030</v>
      </c>
      <c r="AE11" s="28" t="str">
        <f>Test[[#This Row],[16진수test]]</f>
        <v>000030</v>
      </c>
      <c r="AF11" s="29">
        <f t="shared" si="0"/>
        <v>1</v>
      </c>
      <c r="AG11" s="29">
        <f xml:space="preserve"> Test[[#This Row],[state]]</f>
        <v>1</v>
      </c>
      <c r="AH11" s="29">
        <f t="shared" si="1"/>
        <v>1</v>
      </c>
      <c r="AI11" s="1"/>
      <c r="AJ11" s="9"/>
    </row>
    <row r="12" spans="1:36">
      <c r="A12" s="39"/>
      <c r="B12" s="40"/>
      <c r="C12" s="40"/>
      <c r="D12" s="40"/>
      <c r="E12" s="40"/>
      <c r="F12" s="1">
        <v>7</v>
      </c>
      <c r="G12" s="9" t="s">
        <v>125</v>
      </c>
      <c r="H12" s="22">
        <f>INDEX(ControlBits_Tb[],MATCH($G12,ControlBits_Tb[IR],0),MATCH(H$1,ControlBits_Tb[#Headers],0))</f>
        <v>0</v>
      </c>
      <c r="I12" s="22">
        <f>INDEX(ControlBits_Tb[],MATCH($G12,ControlBits_Tb[IR],0),MATCH(I$1,ControlBits_Tb[#Headers],0))</f>
        <v>0</v>
      </c>
      <c r="J12" s="22">
        <f>INDEX(ControlBits_Tb[],MATCH($G12,ControlBits_Tb[IR],0),MATCH(J$1,ControlBits_Tb[#Headers],0))</f>
        <v>0</v>
      </c>
      <c r="K12" s="22">
        <f>INDEX(ControlBits_Tb[],MATCH($G12,ControlBits_Tb[IR],0),MATCH(K$1,ControlBits_Tb[#Headers],0))</f>
        <v>0</v>
      </c>
      <c r="L12" s="22">
        <f>INDEX(ControlBits_Tb[],MATCH($G12,ControlBits_Tb[IR],0),MATCH(L$1,ControlBits_Tb[#Headers],0))</f>
        <v>0</v>
      </c>
      <c r="M12" s="22">
        <f>INDEX(ControlBits_Tb[],MATCH($G12,ControlBits_Tb[IR],0),MATCH(M$1,ControlBits_Tb[#Headers],0))</f>
        <v>0</v>
      </c>
      <c r="N12" s="22">
        <f>INDEX(ControlBits_Tb[],MATCH($G12,ControlBits_Tb[IR],0),MATCH(N$1,ControlBits_Tb[#Headers],0))</f>
        <v>0</v>
      </c>
      <c r="O12" s="22">
        <f>INDEX(ControlBits_Tb[],MATCH($G12,ControlBits_Tb[IR],0),MATCH(O$1,ControlBits_Tb[#Headers],0))</f>
        <v>0</v>
      </c>
      <c r="P12" s="22">
        <f>INDEX(ControlBits_Tb[],MATCH($G12,ControlBits_Tb[IR],0),MATCH(P$1,ControlBits_Tb[#Headers],0))</f>
        <v>0</v>
      </c>
      <c r="Q12" s="22">
        <f>INDEX(ControlBits_Tb[],MATCH($G12,ControlBits_Tb[IR],0),MATCH(Q$1,ControlBits_Tb[#Headers],0))</f>
        <v>0</v>
      </c>
      <c r="R12" s="22">
        <f>INDEX(ControlBits_Tb[],MATCH($G12,ControlBits_Tb[IR],0),MATCH(R$1,ControlBits_Tb[#Headers],0))</f>
        <v>0</v>
      </c>
      <c r="S12" s="22">
        <f>INDEX(ControlBits_Tb[],MATCH($G12,ControlBits_Tb[IR],0),MATCH(S$1,ControlBits_Tb[#Headers],0))</f>
        <v>0</v>
      </c>
      <c r="T12" s="22">
        <f>INDEX(ControlBits_Tb[],MATCH($G12,ControlBits_Tb[IR],0),MATCH(T$1,ControlBits_Tb[#Headers],0))</f>
        <v>0</v>
      </c>
      <c r="U12" s="22">
        <f>INDEX(ControlBits_Tb[],MATCH($G12,ControlBits_Tb[IR],0),MATCH(U$1,ControlBits_Tb[#Headers],0))</f>
        <v>0</v>
      </c>
      <c r="V12" s="22">
        <f>INDEX(ControlBits_Tb[],MATCH($G12,ControlBits_Tb[IR],0),MATCH(V$1,ControlBits_Tb[#Headers],0))</f>
        <v>0</v>
      </c>
      <c r="W12" s="22">
        <f>INDEX(ControlBits_Tb[],MATCH($G12,ControlBits_Tb[IR],0),MATCH(W$1,ControlBits_Tb[#Headers],0))</f>
        <v>1</v>
      </c>
      <c r="X12" s="22">
        <f>INDEX(ControlBits_Tb[],MATCH($G12,ControlBits_Tb[IR],0),MATCH(X$1,ControlBits_Tb[#Headers],0))</f>
        <v>0</v>
      </c>
      <c r="Y12" s="22">
        <f>INDEX(ControlBits_Tb[],MATCH($G12,ControlBits_Tb[IR],0),MATCH(Y$1,ControlBits_Tb[#Headers],0))</f>
        <v>1</v>
      </c>
      <c r="Z12" s="22">
        <f>INDEX(ControlBits_Tb[],MATCH($G12,ControlBits_Tb[IR],0),MATCH(Z$1,ControlBits_Tb[#Headers],0))</f>
        <v>0</v>
      </c>
      <c r="AA12" s="22">
        <f>INDEX(ControlBits_Tb[],MATCH($G12,ControlBits_Tb[IR],0),MATCH(AA$1,ControlBits_Tb[#Headers],0))</f>
        <v>0</v>
      </c>
      <c r="AB12" s="22">
        <f>INDEX(ControlBits_Tb[],MATCH($G12,ControlBits_Tb[IR],0),MATCH(AB$1,ControlBits_Tb[#Headers],0))</f>
        <v>0</v>
      </c>
      <c r="AC12" s="22">
        <f>INDEX(ControlBits_Tb[],MATCH($G12,ControlBits_Tb[IR],0),MATCH(AC$1,ControlBits_Tb[#Headers],0))</f>
        <v>1</v>
      </c>
      <c r="AD12" s="22" t="str">
        <f>INDEX(ControlBits_Tb[],MATCH($G12,ControlBits_Tb[IR],0),MATCH(AD$1,ControlBits_Tb[#Headers],0))</f>
        <v>000051</v>
      </c>
      <c r="AE12" s="28" t="str">
        <f>Test[[#This Row],[16진수test]]</f>
        <v>000051</v>
      </c>
      <c r="AF12" s="29">
        <f t="shared" si="0"/>
        <v>1</v>
      </c>
      <c r="AG12" s="29">
        <f xml:space="preserve"> Test[[#This Row],[state]]</f>
        <v>7</v>
      </c>
      <c r="AH12" s="29">
        <f t="shared" si="1"/>
        <v>1</v>
      </c>
      <c r="AI12" s="1"/>
      <c r="AJ12" s="9"/>
    </row>
    <row r="13" spans="1:36">
      <c r="A13" s="39"/>
      <c r="B13" s="40"/>
      <c r="C13" s="40"/>
      <c r="D13" s="40"/>
      <c r="E13" s="40"/>
      <c r="F13" s="1">
        <v>8</v>
      </c>
      <c r="G13" s="9" t="s">
        <v>168</v>
      </c>
      <c r="H13" s="22">
        <f>INDEX(ControlBits_Tb[],MATCH($G13,ControlBits_Tb[IR],0),MATCH(H$1,ControlBits_Tb[#Headers],0))</f>
        <v>0</v>
      </c>
      <c r="I13" s="22">
        <f>INDEX(ControlBits_Tb[],MATCH($G13,ControlBits_Tb[IR],0),MATCH(I$1,ControlBits_Tb[#Headers],0))</f>
        <v>0</v>
      </c>
      <c r="J13" s="22">
        <f>INDEX(ControlBits_Tb[],MATCH($G13,ControlBits_Tb[IR],0),MATCH(J$1,ControlBits_Tb[#Headers],0))</f>
        <v>0</v>
      </c>
      <c r="K13" s="22">
        <f>INDEX(ControlBits_Tb[],MATCH($G13,ControlBits_Tb[IR],0),MATCH(K$1,ControlBits_Tb[#Headers],0))</f>
        <v>0</v>
      </c>
      <c r="L13" s="22">
        <f>INDEX(ControlBits_Tb[],MATCH($G13,ControlBits_Tb[IR],0),MATCH(L$1,ControlBits_Tb[#Headers],0))</f>
        <v>0</v>
      </c>
      <c r="M13" s="22">
        <f>INDEX(ControlBits_Tb[],MATCH($G13,ControlBits_Tb[IR],0),MATCH(M$1,ControlBits_Tb[#Headers],0))</f>
        <v>0</v>
      </c>
      <c r="N13" s="22">
        <f>INDEX(ControlBits_Tb[],MATCH($G13,ControlBits_Tb[IR],0),MATCH(N$1,ControlBits_Tb[#Headers],0))</f>
        <v>0</v>
      </c>
      <c r="O13" s="22">
        <f>INDEX(ControlBits_Tb[],MATCH($G13,ControlBits_Tb[IR],0),MATCH(O$1,ControlBits_Tb[#Headers],0))</f>
        <v>0</v>
      </c>
      <c r="P13" s="22">
        <f>INDEX(ControlBits_Tb[],MATCH($G13,ControlBits_Tb[IR],0),MATCH(P$1,ControlBits_Tb[#Headers],0))</f>
        <v>1</v>
      </c>
      <c r="Q13" s="22">
        <f>INDEX(ControlBits_Tb[],MATCH($G13,ControlBits_Tb[IR],0),MATCH(Q$1,ControlBits_Tb[#Headers],0))</f>
        <v>0</v>
      </c>
      <c r="R13" s="22">
        <f>INDEX(ControlBits_Tb[],MATCH($G13,ControlBits_Tb[IR],0),MATCH(R$1,ControlBits_Tb[#Headers],0))</f>
        <v>1</v>
      </c>
      <c r="S13" s="22">
        <f>INDEX(ControlBits_Tb[],MATCH($G13,ControlBits_Tb[IR],0),MATCH(S$1,ControlBits_Tb[#Headers],0))</f>
        <v>1</v>
      </c>
      <c r="T13" s="22">
        <f>INDEX(ControlBits_Tb[],MATCH($G13,ControlBits_Tb[IR],0),MATCH(T$1,ControlBits_Tb[#Headers],0))</f>
        <v>0</v>
      </c>
      <c r="U13" s="22">
        <f>INDEX(ControlBits_Tb[],MATCH($G13,ControlBits_Tb[IR],0),MATCH(U$1,ControlBits_Tb[#Headers],0))</f>
        <v>0</v>
      </c>
      <c r="V13" s="22">
        <f>INDEX(ControlBits_Tb[],MATCH($G13,ControlBits_Tb[IR],0),MATCH(V$1,ControlBits_Tb[#Headers],0))</f>
        <v>0</v>
      </c>
      <c r="W13" s="22">
        <f>INDEX(ControlBits_Tb[],MATCH($G13,ControlBits_Tb[IR],0),MATCH(W$1,ControlBits_Tb[#Headers],0))</f>
        <v>0</v>
      </c>
      <c r="X13" s="22">
        <f>INDEX(ControlBits_Tb[],MATCH($G13,ControlBits_Tb[IR],0),MATCH(X$1,ControlBits_Tb[#Headers],0))</f>
        <v>0</v>
      </c>
      <c r="Y13" s="22">
        <f>INDEX(ControlBits_Tb[],MATCH($G13,ControlBits_Tb[IR],0),MATCH(Y$1,ControlBits_Tb[#Headers],0))</f>
        <v>0</v>
      </c>
      <c r="Z13" s="22">
        <f>INDEX(ControlBits_Tb[],MATCH($G13,ControlBits_Tb[IR],0),MATCH(Z$1,ControlBits_Tb[#Headers],0))</f>
        <v>0</v>
      </c>
      <c r="AA13" s="22">
        <f>INDEX(ControlBits_Tb[],MATCH($G13,ControlBits_Tb[IR],0),MATCH(AA$1,ControlBits_Tb[#Headers],0))</f>
        <v>0</v>
      </c>
      <c r="AB13" s="22">
        <f>INDEX(ControlBits_Tb[],MATCH($G13,ControlBits_Tb[IR],0),MATCH(AB$1,ControlBits_Tb[#Headers],0))</f>
        <v>0</v>
      </c>
      <c r="AC13" s="22">
        <f>INDEX(ControlBits_Tb[],MATCH($G13,ControlBits_Tb[IR],0),MATCH(AC$1,ControlBits_Tb[#Headers],0))</f>
        <v>0</v>
      </c>
      <c r="AD13" s="22" t="str">
        <f>INDEX(ControlBits_Tb[],MATCH($G13,ControlBits_Tb[IR],0),MATCH(AD$1,ControlBits_Tb[#Headers],0))</f>
        <v>002c00</v>
      </c>
      <c r="AE13" s="28" t="str">
        <f>Test[[#This Row],[16진수test]]</f>
        <v>002C00</v>
      </c>
      <c r="AF13" s="29">
        <f t="shared" si="0"/>
        <v>1</v>
      </c>
      <c r="AG13" s="29">
        <f xml:space="preserve"> Test[[#This Row],[state]]</f>
        <v>8</v>
      </c>
      <c r="AH13" s="29">
        <f t="shared" si="1"/>
        <v>1</v>
      </c>
      <c r="AI13" s="1"/>
      <c r="AJ13" s="9"/>
    </row>
    <row r="14" spans="1:36">
      <c r="A14" s="39">
        <v>3</v>
      </c>
      <c r="B14" s="40" t="s">
        <v>126</v>
      </c>
      <c r="C14" s="40" t="s">
        <v>123</v>
      </c>
      <c r="D14" s="40" t="s">
        <v>66</v>
      </c>
      <c r="E14" s="40">
        <v>100101</v>
      </c>
      <c r="F14" s="1">
        <v>0</v>
      </c>
      <c r="G14" s="7" t="s">
        <v>26</v>
      </c>
      <c r="H14" s="22">
        <f>INDEX(ControlBits_Tb[],MATCH($G14,ControlBits_Tb[IR],0),MATCH(H$1,ControlBits_Tb[#Headers],0))</f>
        <v>0</v>
      </c>
      <c r="I14" s="22">
        <f>INDEX(ControlBits_Tb[],MATCH($G14,ControlBits_Tb[IR],0),MATCH(I$1,ControlBits_Tb[#Headers],0))</f>
        <v>1</v>
      </c>
      <c r="J14" s="22">
        <f>INDEX(ControlBits_Tb[],MATCH($G14,ControlBits_Tb[IR],0),MATCH(J$1,ControlBits_Tb[#Headers],0))</f>
        <v>1</v>
      </c>
      <c r="K14" s="22">
        <f>INDEX(ControlBits_Tb[],MATCH($G14,ControlBits_Tb[IR],0),MATCH(K$1,ControlBits_Tb[#Headers],0))</f>
        <v>1</v>
      </c>
      <c r="L14" s="22">
        <f>INDEX(ControlBits_Tb[],MATCH($G14,ControlBits_Tb[IR],0),MATCH(L$1,ControlBits_Tb[#Headers],0))</f>
        <v>0</v>
      </c>
      <c r="M14" s="22">
        <f>INDEX(ControlBits_Tb[],MATCH($G14,ControlBits_Tb[IR],0),MATCH(M$1,ControlBits_Tb[#Headers],0))</f>
        <v>1</v>
      </c>
      <c r="N14" s="22">
        <f>INDEX(ControlBits_Tb[],MATCH($G14,ControlBits_Tb[IR],0),MATCH(N$1,ControlBits_Tb[#Headers],0))</f>
        <v>0</v>
      </c>
      <c r="O14" s="22">
        <f>INDEX(ControlBits_Tb[],MATCH($G14,ControlBits_Tb[IR],0),MATCH(O$1,ControlBits_Tb[#Headers],0))</f>
        <v>1</v>
      </c>
      <c r="P14" s="22">
        <f>INDEX(ControlBits_Tb[],MATCH($G14,ControlBits_Tb[IR],0),MATCH(P$1,ControlBits_Tb[#Headers],0))</f>
        <v>0</v>
      </c>
      <c r="Q14" s="22">
        <f>INDEX(ControlBits_Tb[],MATCH($G14,ControlBits_Tb[IR],0),MATCH(Q$1,ControlBits_Tb[#Headers],0))</f>
        <v>0</v>
      </c>
      <c r="R14" s="22">
        <f>INDEX(ControlBits_Tb[],MATCH($G14,ControlBits_Tb[IR],0),MATCH(R$1,ControlBits_Tb[#Headers],0))</f>
        <v>0</v>
      </c>
      <c r="S14" s="22">
        <f>INDEX(ControlBits_Tb[],MATCH($G14,ControlBits_Tb[IR],0),MATCH(S$1,ControlBits_Tb[#Headers],0))</f>
        <v>0</v>
      </c>
      <c r="T14" s="22">
        <f>INDEX(ControlBits_Tb[],MATCH($G14,ControlBits_Tb[IR],0),MATCH(T$1,ControlBits_Tb[#Headers],0))</f>
        <v>0</v>
      </c>
      <c r="U14" s="22">
        <f>INDEX(ControlBits_Tb[],MATCH($G14,ControlBits_Tb[IR],0),MATCH(U$1,ControlBits_Tb[#Headers],0))</f>
        <v>0</v>
      </c>
      <c r="V14" s="22">
        <f>INDEX(ControlBits_Tb[],MATCH($G14,ControlBits_Tb[IR],0),MATCH(V$1,ControlBits_Tb[#Headers],0))</f>
        <v>0</v>
      </c>
      <c r="W14" s="22">
        <f>INDEX(ControlBits_Tb[],MATCH($G14,ControlBits_Tb[IR],0),MATCH(W$1,ControlBits_Tb[#Headers],0))</f>
        <v>0</v>
      </c>
      <c r="X14" s="22">
        <f>INDEX(ControlBits_Tb[],MATCH($G14,ControlBits_Tb[IR],0),MATCH(X$1,ControlBits_Tb[#Headers],0))</f>
        <v>0</v>
      </c>
      <c r="Y14" s="22">
        <f>INDEX(ControlBits_Tb[],MATCH($G14,ControlBits_Tb[IR],0),MATCH(Y$1,ControlBits_Tb[#Headers],0))</f>
        <v>0</v>
      </c>
      <c r="Z14" s="22">
        <f>INDEX(ControlBits_Tb[],MATCH($G14,ControlBits_Tb[IR],0),MATCH(Z$1,ControlBits_Tb[#Headers],0))</f>
        <v>0</v>
      </c>
      <c r="AA14" s="22">
        <f>INDEX(ControlBits_Tb[],MATCH($G14,ControlBits_Tb[IR],0),MATCH(AA$1,ControlBits_Tb[#Headers],0))</f>
        <v>0</v>
      </c>
      <c r="AB14" s="22">
        <f>INDEX(ControlBits_Tb[],MATCH($G14,ControlBits_Tb[IR],0),MATCH(AB$1,ControlBits_Tb[#Headers],0))</f>
        <v>0</v>
      </c>
      <c r="AC14" s="22">
        <f>INDEX(ControlBits_Tb[],MATCH($G14,ControlBits_Tb[IR],0),MATCH(AC$1,ControlBits_Tb[#Headers],0))</f>
        <v>0</v>
      </c>
      <c r="AD14" s="22" t="str">
        <f>INDEX(ControlBits_Tb[],MATCH($G14,ControlBits_Tb[IR],0),MATCH(AD$1,ControlBits_Tb[#Headers],0))</f>
        <v>1d4000</v>
      </c>
      <c r="AE14" s="28" t="str">
        <f>Test[[#This Row],[16진수test]]</f>
        <v>1D4000</v>
      </c>
      <c r="AF14" s="29">
        <f t="shared" si="0"/>
        <v>1</v>
      </c>
      <c r="AG14" s="29">
        <f xml:space="preserve"> Test[[#This Row],[state]]</f>
        <v>0</v>
      </c>
      <c r="AH14" s="29">
        <f t="shared" si="1"/>
        <v>1</v>
      </c>
      <c r="AI14" s="1"/>
      <c r="AJ14" s="9"/>
    </row>
    <row r="15" spans="1:36">
      <c r="A15" s="39"/>
      <c r="B15" s="40"/>
      <c r="C15" s="40"/>
      <c r="D15" s="40"/>
      <c r="E15" s="40"/>
      <c r="F15" s="1">
        <v>1</v>
      </c>
      <c r="G15" s="7" t="s">
        <v>137</v>
      </c>
      <c r="H15" s="22">
        <f>INDEX(ControlBits_Tb[],MATCH($G15,ControlBits_Tb[IR],0),MATCH(H$1,ControlBits_Tb[#Headers],0))</f>
        <v>0</v>
      </c>
      <c r="I15" s="22">
        <f>INDEX(ControlBits_Tb[],MATCH($G15,ControlBits_Tb[IR],0),MATCH(I$1,ControlBits_Tb[#Headers],0))</f>
        <v>0</v>
      </c>
      <c r="J15" s="22">
        <f>INDEX(ControlBits_Tb[],MATCH($G15,ControlBits_Tb[IR],0),MATCH(J$1,ControlBits_Tb[#Headers],0))</f>
        <v>0</v>
      </c>
      <c r="K15" s="22">
        <f>INDEX(ControlBits_Tb[],MATCH($G15,ControlBits_Tb[IR],0),MATCH(K$1,ControlBits_Tb[#Headers],0))</f>
        <v>0</v>
      </c>
      <c r="L15" s="22">
        <f>INDEX(ControlBits_Tb[],MATCH($G15,ControlBits_Tb[IR],0),MATCH(L$1,ControlBits_Tb[#Headers],0))</f>
        <v>0</v>
      </c>
      <c r="M15" s="22">
        <f>INDEX(ControlBits_Tb[],MATCH($G15,ControlBits_Tb[IR],0),MATCH(M$1,ControlBits_Tb[#Headers],0))</f>
        <v>0</v>
      </c>
      <c r="N15" s="22">
        <f>INDEX(ControlBits_Tb[],MATCH($G15,ControlBits_Tb[IR],0),MATCH(N$1,ControlBits_Tb[#Headers],0))</f>
        <v>0</v>
      </c>
      <c r="O15" s="22">
        <f>INDEX(ControlBits_Tb[],MATCH($G15,ControlBits_Tb[IR],0),MATCH(O$1,ControlBits_Tb[#Headers],0))</f>
        <v>0</v>
      </c>
      <c r="P15" s="22">
        <f>INDEX(ControlBits_Tb[],MATCH($G15,ControlBits_Tb[IR],0),MATCH(P$1,ControlBits_Tb[#Headers],0))</f>
        <v>0</v>
      </c>
      <c r="Q15" s="22">
        <f>INDEX(ControlBits_Tb[],MATCH($G15,ControlBits_Tb[IR],0),MATCH(Q$1,ControlBits_Tb[#Headers],0))</f>
        <v>0</v>
      </c>
      <c r="R15" s="22">
        <f>INDEX(ControlBits_Tb[],MATCH($G15,ControlBits_Tb[IR],0),MATCH(R$1,ControlBits_Tb[#Headers],0))</f>
        <v>0</v>
      </c>
      <c r="S15" s="22">
        <f>INDEX(ControlBits_Tb[],MATCH($G15,ControlBits_Tb[IR],0),MATCH(S$1,ControlBits_Tb[#Headers],0))</f>
        <v>0</v>
      </c>
      <c r="T15" s="22">
        <f>INDEX(ControlBits_Tb[],MATCH($G15,ControlBits_Tb[IR],0),MATCH(T$1,ControlBits_Tb[#Headers],0))</f>
        <v>0</v>
      </c>
      <c r="U15" s="22">
        <f>INDEX(ControlBits_Tb[],MATCH($G15,ControlBits_Tb[IR],0),MATCH(U$1,ControlBits_Tb[#Headers],0))</f>
        <v>0</v>
      </c>
      <c r="V15" s="22">
        <f>INDEX(ControlBits_Tb[],MATCH($G15,ControlBits_Tb[IR],0),MATCH(V$1,ControlBits_Tb[#Headers],0))</f>
        <v>0</v>
      </c>
      <c r="W15" s="22">
        <f>INDEX(ControlBits_Tb[],MATCH($G15,ControlBits_Tb[IR],0),MATCH(W$1,ControlBits_Tb[#Headers],0))</f>
        <v>0</v>
      </c>
      <c r="X15" s="22">
        <f>INDEX(ControlBits_Tb[],MATCH($G15,ControlBits_Tb[IR],0),MATCH(X$1,ControlBits_Tb[#Headers],0))</f>
        <v>1</v>
      </c>
      <c r="Y15" s="22">
        <f>INDEX(ControlBits_Tb[],MATCH($G15,ControlBits_Tb[IR],0),MATCH(Y$1,ControlBits_Tb[#Headers],0))</f>
        <v>1</v>
      </c>
      <c r="Z15" s="22">
        <f>INDEX(ControlBits_Tb[],MATCH($G15,ControlBits_Tb[IR],0),MATCH(Z$1,ControlBits_Tb[#Headers],0))</f>
        <v>0</v>
      </c>
      <c r="AA15" s="22">
        <f>INDEX(ControlBits_Tb[],MATCH($G15,ControlBits_Tb[IR],0),MATCH(AA$1,ControlBits_Tb[#Headers],0))</f>
        <v>0</v>
      </c>
      <c r="AB15" s="22">
        <f>INDEX(ControlBits_Tb[],MATCH($G15,ControlBits_Tb[IR],0),MATCH(AB$1,ControlBits_Tb[#Headers],0))</f>
        <v>0</v>
      </c>
      <c r="AC15" s="22">
        <f>INDEX(ControlBits_Tb[],MATCH($G15,ControlBits_Tb[IR],0),MATCH(AC$1,ControlBits_Tb[#Headers],0))</f>
        <v>0</v>
      </c>
      <c r="AD15" s="22" t="str">
        <f>INDEX(ControlBits_Tb[],MATCH($G15,ControlBits_Tb[IR],0),MATCH(AD$1,ControlBits_Tb[#Headers],0))</f>
        <v>000030</v>
      </c>
      <c r="AE15" s="28" t="str">
        <f>Test[[#This Row],[16진수test]]</f>
        <v>000030</v>
      </c>
      <c r="AF15" s="29">
        <f t="shared" si="0"/>
        <v>1</v>
      </c>
      <c r="AG15" s="29">
        <f xml:space="preserve"> Test[[#This Row],[state]]</f>
        <v>1</v>
      </c>
      <c r="AH15" s="29">
        <f t="shared" si="1"/>
        <v>1</v>
      </c>
      <c r="AI15" s="1"/>
      <c r="AJ15" s="9"/>
    </row>
    <row r="16" spans="1:36">
      <c r="A16" s="39"/>
      <c r="B16" s="40"/>
      <c r="C16" s="40"/>
      <c r="D16" s="40"/>
      <c r="E16" s="40"/>
      <c r="F16" s="1">
        <v>7</v>
      </c>
      <c r="G16" s="9" t="s">
        <v>126</v>
      </c>
      <c r="H16" s="22">
        <f>INDEX(ControlBits_Tb[],MATCH($G16,ControlBits_Tb[IR],0),MATCH(H$1,ControlBits_Tb[#Headers],0))</f>
        <v>0</v>
      </c>
      <c r="I16" s="22">
        <f>INDEX(ControlBits_Tb[],MATCH($G16,ControlBits_Tb[IR],0),MATCH(I$1,ControlBits_Tb[#Headers],0))</f>
        <v>0</v>
      </c>
      <c r="J16" s="22">
        <f>INDEX(ControlBits_Tb[],MATCH($G16,ControlBits_Tb[IR],0),MATCH(J$1,ControlBits_Tb[#Headers],0))</f>
        <v>0</v>
      </c>
      <c r="K16" s="22">
        <f>INDEX(ControlBits_Tb[],MATCH($G16,ControlBits_Tb[IR],0),MATCH(K$1,ControlBits_Tb[#Headers],0))</f>
        <v>0</v>
      </c>
      <c r="L16" s="22">
        <f>INDEX(ControlBits_Tb[],MATCH($G16,ControlBits_Tb[IR],0),MATCH(L$1,ControlBits_Tb[#Headers],0))</f>
        <v>0</v>
      </c>
      <c r="M16" s="22">
        <f>INDEX(ControlBits_Tb[],MATCH($G16,ControlBits_Tb[IR],0),MATCH(M$1,ControlBits_Tb[#Headers],0))</f>
        <v>0</v>
      </c>
      <c r="N16" s="22">
        <f>INDEX(ControlBits_Tb[],MATCH($G16,ControlBits_Tb[IR],0),MATCH(N$1,ControlBits_Tb[#Headers],0))</f>
        <v>0</v>
      </c>
      <c r="O16" s="22">
        <f>INDEX(ControlBits_Tb[],MATCH($G16,ControlBits_Tb[IR],0),MATCH(O$1,ControlBits_Tb[#Headers],0))</f>
        <v>0</v>
      </c>
      <c r="P16" s="22">
        <f>INDEX(ControlBits_Tb[],MATCH($G16,ControlBits_Tb[IR],0),MATCH(P$1,ControlBits_Tb[#Headers],0))</f>
        <v>0</v>
      </c>
      <c r="Q16" s="22">
        <f>INDEX(ControlBits_Tb[],MATCH($G16,ControlBits_Tb[IR],0),MATCH(Q$1,ControlBits_Tb[#Headers],0))</f>
        <v>0</v>
      </c>
      <c r="R16" s="22">
        <f>INDEX(ControlBits_Tb[],MATCH($G16,ControlBits_Tb[IR],0),MATCH(R$1,ControlBits_Tb[#Headers],0))</f>
        <v>0</v>
      </c>
      <c r="S16" s="22">
        <f>INDEX(ControlBits_Tb[],MATCH($G16,ControlBits_Tb[IR],0),MATCH(S$1,ControlBits_Tb[#Headers],0))</f>
        <v>0</v>
      </c>
      <c r="T16" s="22">
        <f>INDEX(ControlBits_Tb[],MATCH($G16,ControlBits_Tb[IR],0),MATCH(T$1,ControlBits_Tb[#Headers],0))</f>
        <v>0</v>
      </c>
      <c r="U16" s="22">
        <f>INDEX(ControlBits_Tb[],MATCH($G16,ControlBits_Tb[IR],0),MATCH(U$1,ControlBits_Tb[#Headers],0))</f>
        <v>0</v>
      </c>
      <c r="V16" s="22">
        <f>INDEX(ControlBits_Tb[],MATCH($G16,ControlBits_Tb[IR],0),MATCH(V$1,ControlBits_Tb[#Headers],0))</f>
        <v>0</v>
      </c>
      <c r="W16" s="22">
        <f>INDEX(ControlBits_Tb[],MATCH($G16,ControlBits_Tb[IR],0),MATCH(W$1,ControlBits_Tb[#Headers],0))</f>
        <v>1</v>
      </c>
      <c r="X16" s="22">
        <f>INDEX(ControlBits_Tb[],MATCH($G16,ControlBits_Tb[IR],0),MATCH(X$1,ControlBits_Tb[#Headers],0))</f>
        <v>0</v>
      </c>
      <c r="Y16" s="22">
        <f>INDEX(ControlBits_Tb[],MATCH($G16,ControlBits_Tb[IR],0),MATCH(Y$1,ControlBits_Tb[#Headers],0))</f>
        <v>1</v>
      </c>
      <c r="Z16" s="22">
        <f>INDEX(ControlBits_Tb[],MATCH($G16,ControlBits_Tb[IR],0),MATCH(Z$1,ControlBits_Tb[#Headers],0))</f>
        <v>0</v>
      </c>
      <c r="AA16" s="22">
        <f>INDEX(ControlBits_Tb[],MATCH($G16,ControlBits_Tb[IR],0),MATCH(AA$1,ControlBits_Tb[#Headers],0))</f>
        <v>1</v>
      </c>
      <c r="AB16" s="22">
        <f>INDEX(ControlBits_Tb[],MATCH($G16,ControlBits_Tb[IR],0),MATCH(AB$1,ControlBits_Tb[#Headers],0))</f>
        <v>0</v>
      </c>
      <c r="AC16" s="22">
        <f>INDEX(ControlBits_Tb[],MATCH($G16,ControlBits_Tb[IR],0),MATCH(AC$1,ControlBits_Tb[#Headers],0))</f>
        <v>1</v>
      </c>
      <c r="AD16" s="22" t="str">
        <f>INDEX(ControlBits_Tb[],MATCH($G16,ControlBits_Tb[IR],0),MATCH(AD$1,ControlBits_Tb[#Headers],0))</f>
        <v>000055</v>
      </c>
      <c r="AE16" s="28" t="str">
        <f>Test[[#This Row],[16진수test]]</f>
        <v>000055</v>
      </c>
      <c r="AF16" s="29">
        <f t="shared" si="0"/>
        <v>1</v>
      </c>
      <c r="AG16" s="29">
        <f xml:space="preserve"> Test[[#This Row],[state]]</f>
        <v>7</v>
      </c>
      <c r="AH16" s="29">
        <f t="shared" si="1"/>
        <v>1</v>
      </c>
      <c r="AI16" s="1"/>
      <c r="AJ16" s="9"/>
    </row>
    <row r="17" spans="1:36">
      <c r="A17" s="39"/>
      <c r="B17" s="40"/>
      <c r="C17" s="40"/>
      <c r="D17" s="40"/>
      <c r="E17" s="40"/>
      <c r="F17" s="1">
        <v>8</v>
      </c>
      <c r="G17" s="9" t="s">
        <v>168</v>
      </c>
      <c r="H17" s="22">
        <f>INDEX(ControlBits_Tb[],MATCH($G17,ControlBits_Tb[IR],0),MATCH(H$1,ControlBits_Tb[#Headers],0))</f>
        <v>0</v>
      </c>
      <c r="I17" s="22">
        <f>INDEX(ControlBits_Tb[],MATCH($G17,ControlBits_Tb[IR],0),MATCH(I$1,ControlBits_Tb[#Headers],0))</f>
        <v>0</v>
      </c>
      <c r="J17" s="22">
        <f>INDEX(ControlBits_Tb[],MATCH($G17,ControlBits_Tb[IR],0),MATCH(J$1,ControlBits_Tb[#Headers],0))</f>
        <v>0</v>
      </c>
      <c r="K17" s="22">
        <f>INDEX(ControlBits_Tb[],MATCH($G17,ControlBits_Tb[IR],0),MATCH(K$1,ControlBits_Tb[#Headers],0))</f>
        <v>0</v>
      </c>
      <c r="L17" s="22">
        <f>INDEX(ControlBits_Tb[],MATCH($G17,ControlBits_Tb[IR],0),MATCH(L$1,ControlBits_Tb[#Headers],0))</f>
        <v>0</v>
      </c>
      <c r="M17" s="22">
        <f>INDEX(ControlBits_Tb[],MATCH($G17,ControlBits_Tb[IR],0),MATCH(M$1,ControlBits_Tb[#Headers],0))</f>
        <v>0</v>
      </c>
      <c r="N17" s="22">
        <f>INDEX(ControlBits_Tb[],MATCH($G17,ControlBits_Tb[IR],0),MATCH(N$1,ControlBits_Tb[#Headers],0))</f>
        <v>0</v>
      </c>
      <c r="O17" s="22">
        <f>INDEX(ControlBits_Tb[],MATCH($G17,ControlBits_Tb[IR],0),MATCH(O$1,ControlBits_Tb[#Headers],0))</f>
        <v>0</v>
      </c>
      <c r="P17" s="22">
        <f>INDEX(ControlBits_Tb[],MATCH($G17,ControlBits_Tb[IR],0),MATCH(P$1,ControlBits_Tb[#Headers],0))</f>
        <v>1</v>
      </c>
      <c r="Q17" s="22">
        <f>INDEX(ControlBits_Tb[],MATCH($G17,ControlBits_Tb[IR],0),MATCH(Q$1,ControlBits_Tb[#Headers],0))</f>
        <v>0</v>
      </c>
      <c r="R17" s="22">
        <f>INDEX(ControlBits_Tb[],MATCH($G17,ControlBits_Tb[IR],0),MATCH(R$1,ControlBits_Tb[#Headers],0))</f>
        <v>1</v>
      </c>
      <c r="S17" s="22">
        <f>INDEX(ControlBits_Tb[],MATCH($G17,ControlBits_Tb[IR],0),MATCH(S$1,ControlBits_Tb[#Headers],0))</f>
        <v>1</v>
      </c>
      <c r="T17" s="22">
        <f>INDEX(ControlBits_Tb[],MATCH($G17,ControlBits_Tb[IR],0),MATCH(T$1,ControlBits_Tb[#Headers],0))</f>
        <v>0</v>
      </c>
      <c r="U17" s="22">
        <f>INDEX(ControlBits_Tb[],MATCH($G17,ControlBits_Tb[IR],0),MATCH(U$1,ControlBits_Tb[#Headers],0))</f>
        <v>0</v>
      </c>
      <c r="V17" s="22">
        <f>INDEX(ControlBits_Tb[],MATCH($G17,ControlBits_Tb[IR],0),MATCH(V$1,ControlBits_Tb[#Headers],0))</f>
        <v>0</v>
      </c>
      <c r="W17" s="22">
        <f>INDEX(ControlBits_Tb[],MATCH($G17,ControlBits_Tb[IR],0),MATCH(W$1,ControlBits_Tb[#Headers],0))</f>
        <v>0</v>
      </c>
      <c r="X17" s="22">
        <f>INDEX(ControlBits_Tb[],MATCH($G17,ControlBits_Tb[IR],0),MATCH(X$1,ControlBits_Tb[#Headers],0))</f>
        <v>0</v>
      </c>
      <c r="Y17" s="22">
        <f>INDEX(ControlBits_Tb[],MATCH($G17,ControlBits_Tb[IR],0),MATCH(Y$1,ControlBits_Tb[#Headers],0))</f>
        <v>0</v>
      </c>
      <c r="Z17" s="22">
        <f>INDEX(ControlBits_Tb[],MATCH($G17,ControlBits_Tb[IR],0),MATCH(Z$1,ControlBits_Tb[#Headers],0))</f>
        <v>0</v>
      </c>
      <c r="AA17" s="22">
        <f>INDEX(ControlBits_Tb[],MATCH($G17,ControlBits_Tb[IR],0),MATCH(AA$1,ControlBits_Tb[#Headers],0))</f>
        <v>0</v>
      </c>
      <c r="AB17" s="22">
        <f>INDEX(ControlBits_Tb[],MATCH($G17,ControlBits_Tb[IR],0),MATCH(AB$1,ControlBits_Tb[#Headers],0))</f>
        <v>0</v>
      </c>
      <c r="AC17" s="22">
        <f>INDEX(ControlBits_Tb[],MATCH($G17,ControlBits_Tb[IR],0),MATCH(AC$1,ControlBits_Tb[#Headers],0))</f>
        <v>0</v>
      </c>
      <c r="AD17" s="22" t="str">
        <f>INDEX(ControlBits_Tb[],MATCH($G17,ControlBits_Tb[IR],0),MATCH(AD$1,ControlBits_Tb[#Headers],0))</f>
        <v>002c00</v>
      </c>
      <c r="AE17" s="28" t="str">
        <f>Test[[#This Row],[16진수test]]</f>
        <v>002C00</v>
      </c>
      <c r="AF17" s="29">
        <f t="shared" si="0"/>
        <v>1</v>
      </c>
      <c r="AG17" s="29">
        <f xml:space="preserve"> Test[[#This Row],[state]]</f>
        <v>8</v>
      </c>
      <c r="AH17" s="29">
        <f t="shared" si="1"/>
        <v>1</v>
      </c>
      <c r="AI17" s="1"/>
      <c r="AJ17" s="1"/>
    </row>
    <row r="18" spans="1:36">
      <c r="A18" s="39">
        <v>4</v>
      </c>
      <c r="B18" s="40" t="s">
        <v>127</v>
      </c>
      <c r="C18" s="40" t="s">
        <v>123</v>
      </c>
      <c r="D18" s="40" t="s">
        <v>66</v>
      </c>
      <c r="E18" s="40">
        <v>100110</v>
      </c>
      <c r="F18" s="1">
        <v>0</v>
      </c>
      <c r="G18" s="7" t="s">
        <v>26</v>
      </c>
      <c r="H18" s="22">
        <f>INDEX(ControlBits_Tb[],MATCH($G18,ControlBits_Tb[IR],0),MATCH(H$1,ControlBits_Tb[#Headers],0))</f>
        <v>0</v>
      </c>
      <c r="I18" s="22">
        <f>INDEX(ControlBits_Tb[],MATCH($G18,ControlBits_Tb[IR],0),MATCH(I$1,ControlBits_Tb[#Headers],0))</f>
        <v>1</v>
      </c>
      <c r="J18" s="22">
        <f>INDEX(ControlBits_Tb[],MATCH($G18,ControlBits_Tb[IR],0),MATCH(J$1,ControlBits_Tb[#Headers],0))</f>
        <v>1</v>
      </c>
      <c r="K18" s="22">
        <f>INDEX(ControlBits_Tb[],MATCH($G18,ControlBits_Tb[IR],0),MATCH(K$1,ControlBits_Tb[#Headers],0))</f>
        <v>1</v>
      </c>
      <c r="L18" s="22">
        <f>INDEX(ControlBits_Tb[],MATCH($G18,ControlBits_Tb[IR],0),MATCH(L$1,ControlBits_Tb[#Headers],0))</f>
        <v>0</v>
      </c>
      <c r="M18" s="22">
        <f>INDEX(ControlBits_Tb[],MATCH($G18,ControlBits_Tb[IR],0),MATCH(M$1,ControlBits_Tb[#Headers],0))</f>
        <v>1</v>
      </c>
      <c r="N18" s="22">
        <f>INDEX(ControlBits_Tb[],MATCH($G18,ControlBits_Tb[IR],0),MATCH(N$1,ControlBits_Tb[#Headers],0))</f>
        <v>0</v>
      </c>
      <c r="O18" s="22">
        <f>INDEX(ControlBits_Tb[],MATCH($G18,ControlBits_Tb[IR],0),MATCH(O$1,ControlBits_Tb[#Headers],0))</f>
        <v>1</v>
      </c>
      <c r="P18" s="22">
        <f>INDEX(ControlBits_Tb[],MATCH($G18,ControlBits_Tb[IR],0),MATCH(P$1,ControlBits_Tb[#Headers],0))</f>
        <v>0</v>
      </c>
      <c r="Q18" s="22">
        <f>INDEX(ControlBits_Tb[],MATCH($G18,ControlBits_Tb[IR],0),MATCH(Q$1,ControlBits_Tb[#Headers],0))</f>
        <v>0</v>
      </c>
      <c r="R18" s="22">
        <f>INDEX(ControlBits_Tb[],MATCH($G18,ControlBits_Tb[IR],0),MATCH(R$1,ControlBits_Tb[#Headers],0))</f>
        <v>0</v>
      </c>
      <c r="S18" s="22">
        <f>INDEX(ControlBits_Tb[],MATCH($G18,ControlBits_Tb[IR],0),MATCH(S$1,ControlBits_Tb[#Headers],0))</f>
        <v>0</v>
      </c>
      <c r="T18" s="22">
        <f>INDEX(ControlBits_Tb[],MATCH($G18,ControlBits_Tb[IR],0),MATCH(T$1,ControlBits_Tb[#Headers],0))</f>
        <v>0</v>
      </c>
      <c r="U18" s="22">
        <f>INDEX(ControlBits_Tb[],MATCH($G18,ControlBits_Tb[IR],0),MATCH(U$1,ControlBits_Tb[#Headers],0))</f>
        <v>0</v>
      </c>
      <c r="V18" s="22">
        <f>INDEX(ControlBits_Tb[],MATCH($G18,ControlBits_Tb[IR],0),MATCH(V$1,ControlBits_Tb[#Headers],0))</f>
        <v>0</v>
      </c>
      <c r="W18" s="22">
        <f>INDEX(ControlBits_Tb[],MATCH($G18,ControlBits_Tb[IR],0),MATCH(W$1,ControlBits_Tb[#Headers],0))</f>
        <v>0</v>
      </c>
      <c r="X18" s="22">
        <f>INDEX(ControlBits_Tb[],MATCH($G18,ControlBits_Tb[IR],0),MATCH(X$1,ControlBits_Tb[#Headers],0))</f>
        <v>0</v>
      </c>
      <c r="Y18" s="22">
        <f>INDEX(ControlBits_Tb[],MATCH($G18,ControlBits_Tb[IR],0),MATCH(Y$1,ControlBits_Tb[#Headers],0))</f>
        <v>0</v>
      </c>
      <c r="Z18" s="22">
        <f>INDEX(ControlBits_Tb[],MATCH($G18,ControlBits_Tb[IR],0),MATCH(Z$1,ControlBits_Tb[#Headers],0))</f>
        <v>0</v>
      </c>
      <c r="AA18" s="22">
        <f>INDEX(ControlBits_Tb[],MATCH($G18,ControlBits_Tb[IR],0),MATCH(AA$1,ControlBits_Tb[#Headers],0))</f>
        <v>0</v>
      </c>
      <c r="AB18" s="22">
        <f>INDEX(ControlBits_Tb[],MATCH($G18,ControlBits_Tb[IR],0),MATCH(AB$1,ControlBits_Tb[#Headers],0))</f>
        <v>0</v>
      </c>
      <c r="AC18" s="22">
        <f>INDEX(ControlBits_Tb[],MATCH($G18,ControlBits_Tb[IR],0),MATCH(AC$1,ControlBits_Tb[#Headers],0))</f>
        <v>0</v>
      </c>
      <c r="AD18" s="22" t="str">
        <f>INDEX(ControlBits_Tb[],MATCH($G18,ControlBits_Tb[IR],0),MATCH(AD$1,ControlBits_Tb[#Headers],0))</f>
        <v>1d4000</v>
      </c>
      <c r="AE18" s="28" t="str">
        <f>Test[[#This Row],[16진수test]]</f>
        <v>1D4000</v>
      </c>
      <c r="AF18" s="29">
        <f t="shared" si="0"/>
        <v>1</v>
      </c>
      <c r="AG18" s="29">
        <f xml:space="preserve"> Test[[#This Row],[state]]</f>
        <v>0</v>
      </c>
      <c r="AH18" s="29">
        <f t="shared" si="1"/>
        <v>1</v>
      </c>
    </row>
    <row r="19" spans="1:36">
      <c r="A19" s="39"/>
      <c r="B19" s="40"/>
      <c r="C19" s="40"/>
      <c r="D19" s="40"/>
      <c r="E19" s="40"/>
      <c r="F19" s="1">
        <v>1</v>
      </c>
      <c r="G19" s="7" t="s">
        <v>137</v>
      </c>
      <c r="H19" s="22">
        <f>INDEX(ControlBits_Tb[],MATCH($G19,ControlBits_Tb[IR],0),MATCH(H$1,ControlBits_Tb[#Headers],0))</f>
        <v>0</v>
      </c>
      <c r="I19" s="22">
        <f>INDEX(ControlBits_Tb[],MATCH($G19,ControlBits_Tb[IR],0),MATCH(I$1,ControlBits_Tb[#Headers],0))</f>
        <v>0</v>
      </c>
      <c r="J19" s="22">
        <f>INDEX(ControlBits_Tb[],MATCH($G19,ControlBits_Tb[IR],0),MATCH(J$1,ControlBits_Tb[#Headers],0))</f>
        <v>0</v>
      </c>
      <c r="K19" s="22">
        <f>INDEX(ControlBits_Tb[],MATCH($G19,ControlBits_Tb[IR],0),MATCH(K$1,ControlBits_Tb[#Headers],0))</f>
        <v>0</v>
      </c>
      <c r="L19" s="22">
        <f>INDEX(ControlBits_Tb[],MATCH($G19,ControlBits_Tb[IR],0),MATCH(L$1,ControlBits_Tb[#Headers],0))</f>
        <v>0</v>
      </c>
      <c r="M19" s="22">
        <f>INDEX(ControlBits_Tb[],MATCH($G19,ControlBits_Tb[IR],0),MATCH(M$1,ControlBits_Tb[#Headers],0))</f>
        <v>0</v>
      </c>
      <c r="N19" s="22">
        <f>INDEX(ControlBits_Tb[],MATCH($G19,ControlBits_Tb[IR],0),MATCH(N$1,ControlBits_Tb[#Headers],0))</f>
        <v>0</v>
      </c>
      <c r="O19" s="22">
        <f>INDEX(ControlBits_Tb[],MATCH($G19,ControlBits_Tb[IR],0),MATCH(O$1,ControlBits_Tb[#Headers],0))</f>
        <v>0</v>
      </c>
      <c r="P19" s="22">
        <f>INDEX(ControlBits_Tb[],MATCH($G19,ControlBits_Tb[IR],0),MATCH(P$1,ControlBits_Tb[#Headers],0))</f>
        <v>0</v>
      </c>
      <c r="Q19" s="22">
        <f>INDEX(ControlBits_Tb[],MATCH($G19,ControlBits_Tb[IR],0),MATCH(Q$1,ControlBits_Tb[#Headers],0))</f>
        <v>0</v>
      </c>
      <c r="R19" s="22">
        <f>INDEX(ControlBits_Tb[],MATCH($G19,ControlBits_Tb[IR],0),MATCH(R$1,ControlBits_Tb[#Headers],0))</f>
        <v>0</v>
      </c>
      <c r="S19" s="22">
        <f>INDEX(ControlBits_Tb[],MATCH($G19,ControlBits_Tb[IR],0),MATCH(S$1,ControlBits_Tb[#Headers],0))</f>
        <v>0</v>
      </c>
      <c r="T19" s="22">
        <f>INDEX(ControlBits_Tb[],MATCH($G19,ControlBits_Tb[IR],0),MATCH(T$1,ControlBits_Tb[#Headers],0))</f>
        <v>0</v>
      </c>
      <c r="U19" s="22">
        <f>INDEX(ControlBits_Tb[],MATCH($G19,ControlBits_Tb[IR],0),MATCH(U$1,ControlBits_Tb[#Headers],0))</f>
        <v>0</v>
      </c>
      <c r="V19" s="22">
        <f>INDEX(ControlBits_Tb[],MATCH($G19,ControlBits_Tb[IR],0),MATCH(V$1,ControlBits_Tb[#Headers],0))</f>
        <v>0</v>
      </c>
      <c r="W19" s="22">
        <f>INDEX(ControlBits_Tb[],MATCH($G19,ControlBits_Tb[IR],0),MATCH(W$1,ControlBits_Tb[#Headers],0))</f>
        <v>0</v>
      </c>
      <c r="X19" s="22">
        <f>INDEX(ControlBits_Tb[],MATCH($G19,ControlBits_Tb[IR],0),MATCH(X$1,ControlBits_Tb[#Headers],0))</f>
        <v>1</v>
      </c>
      <c r="Y19" s="22">
        <f>INDEX(ControlBits_Tb[],MATCH($G19,ControlBits_Tb[IR],0),MATCH(Y$1,ControlBits_Tb[#Headers],0))</f>
        <v>1</v>
      </c>
      <c r="Z19" s="22">
        <f>INDEX(ControlBits_Tb[],MATCH($G19,ControlBits_Tb[IR],0),MATCH(Z$1,ControlBits_Tb[#Headers],0))</f>
        <v>0</v>
      </c>
      <c r="AA19" s="22">
        <f>INDEX(ControlBits_Tb[],MATCH($G19,ControlBits_Tb[IR],0),MATCH(AA$1,ControlBits_Tb[#Headers],0))</f>
        <v>0</v>
      </c>
      <c r="AB19" s="22">
        <f>INDEX(ControlBits_Tb[],MATCH($G19,ControlBits_Tb[IR],0),MATCH(AB$1,ControlBits_Tb[#Headers],0))</f>
        <v>0</v>
      </c>
      <c r="AC19" s="22">
        <f>INDEX(ControlBits_Tb[],MATCH($G19,ControlBits_Tb[IR],0),MATCH(AC$1,ControlBits_Tb[#Headers],0))</f>
        <v>0</v>
      </c>
      <c r="AD19" s="22" t="str">
        <f>INDEX(ControlBits_Tb[],MATCH($G19,ControlBits_Tb[IR],0),MATCH(AD$1,ControlBits_Tb[#Headers],0))</f>
        <v>000030</v>
      </c>
      <c r="AE19" s="28" t="str">
        <f>Test[[#This Row],[16진수test]]</f>
        <v>000030</v>
      </c>
      <c r="AF19" s="29">
        <f t="shared" si="0"/>
        <v>1</v>
      </c>
      <c r="AG19" s="29">
        <f xml:space="preserve"> Test[[#This Row],[state]]</f>
        <v>1</v>
      </c>
      <c r="AH19" s="29">
        <f t="shared" si="1"/>
        <v>1</v>
      </c>
      <c r="AI19" s="1"/>
      <c r="AJ19" s="1"/>
    </row>
    <row r="20" spans="1:36">
      <c r="A20" s="39"/>
      <c r="B20" s="40"/>
      <c r="C20" s="40"/>
      <c r="D20" s="40"/>
      <c r="E20" s="40"/>
      <c r="F20" s="1">
        <v>7</v>
      </c>
      <c r="G20" s="9" t="s">
        <v>127</v>
      </c>
      <c r="H20" s="22">
        <f>INDEX(ControlBits_Tb[],MATCH($G20,ControlBits_Tb[IR],0),MATCH(H$1,ControlBits_Tb[#Headers],0))</f>
        <v>0</v>
      </c>
      <c r="I20" s="22">
        <f>INDEX(ControlBits_Tb[],MATCH($G20,ControlBits_Tb[IR],0),MATCH(I$1,ControlBits_Tb[#Headers],0))</f>
        <v>0</v>
      </c>
      <c r="J20" s="22">
        <f>INDEX(ControlBits_Tb[],MATCH($G20,ControlBits_Tb[IR],0),MATCH(J$1,ControlBits_Tb[#Headers],0))</f>
        <v>0</v>
      </c>
      <c r="K20" s="22">
        <f>INDEX(ControlBits_Tb[],MATCH($G20,ControlBits_Tb[IR],0),MATCH(K$1,ControlBits_Tb[#Headers],0))</f>
        <v>0</v>
      </c>
      <c r="L20" s="22">
        <f>INDEX(ControlBits_Tb[],MATCH($G20,ControlBits_Tb[IR],0),MATCH(L$1,ControlBits_Tb[#Headers],0))</f>
        <v>0</v>
      </c>
      <c r="M20" s="22">
        <f>INDEX(ControlBits_Tb[],MATCH($G20,ControlBits_Tb[IR],0),MATCH(M$1,ControlBits_Tb[#Headers],0))</f>
        <v>0</v>
      </c>
      <c r="N20" s="22">
        <f>INDEX(ControlBits_Tb[],MATCH($G20,ControlBits_Tb[IR],0),MATCH(N$1,ControlBits_Tb[#Headers],0))</f>
        <v>0</v>
      </c>
      <c r="O20" s="22">
        <f>INDEX(ControlBits_Tb[],MATCH($G20,ControlBits_Tb[IR],0),MATCH(O$1,ControlBits_Tb[#Headers],0))</f>
        <v>0</v>
      </c>
      <c r="P20" s="22">
        <f>INDEX(ControlBits_Tb[],MATCH($G20,ControlBits_Tb[IR],0),MATCH(P$1,ControlBits_Tb[#Headers],0))</f>
        <v>0</v>
      </c>
      <c r="Q20" s="22">
        <f>INDEX(ControlBits_Tb[],MATCH($G20,ControlBits_Tb[IR],0),MATCH(Q$1,ControlBits_Tb[#Headers],0))</f>
        <v>0</v>
      </c>
      <c r="R20" s="22">
        <f>INDEX(ControlBits_Tb[],MATCH($G20,ControlBits_Tb[IR],0),MATCH(R$1,ControlBits_Tb[#Headers],0))</f>
        <v>0</v>
      </c>
      <c r="S20" s="22">
        <f>INDEX(ControlBits_Tb[],MATCH($G20,ControlBits_Tb[IR],0),MATCH(S$1,ControlBits_Tb[#Headers],0))</f>
        <v>0</v>
      </c>
      <c r="T20" s="22">
        <f>INDEX(ControlBits_Tb[],MATCH($G20,ControlBits_Tb[IR],0),MATCH(T$1,ControlBits_Tb[#Headers],0))</f>
        <v>0</v>
      </c>
      <c r="U20" s="22">
        <f>INDEX(ControlBits_Tb[],MATCH($G20,ControlBits_Tb[IR],0),MATCH(U$1,ControlBits_Tb[#Headers],0))</f>
        <v>0</v>
      </c>
      <c r="V20" s="22">
        <f>INDEX(ControlBits_Tb[],MATCH($G20,ControlBits_Tb[IR],0),MATCH(V$1,ControlBits_Tb[#Headers],0))</f>
        <v>0</v>
      </c>
      <c r="W20" s="22">
        <f>INDEX(ControlBits_Tb[],MATCH($G20,ControlBits_Tb[IR],0),MATCH(W$1,ControlBits_Tb[#Headers],0))</f>
        <v>1</v>
      </c>
      <c r="X20" s="22">
        <f>INDEX(ControlBits_Tb[],MATCH($G20,ControlBits_Tb[IR],0),MATCH(X$1,ControlBits_Tb[#Headers],0))</f>
        <v>0</v>
      </c>
      <c r="Y20" s="22">
        <f>INDEX(ControlBits_Tb[],MATCH($G20,ControlBits_Tb[IR],0),MATCH(Y$1,ControlBits_Tb[#Headers],0))</f>
        <v>1</v>
      </c>
      <c r="Z20" s="22">
        <f>INDEX(ControlBits_Tb[],MATCH($G20,ControlBits_Tb[IR],0),MATCH(Z$1,ControlBits_Tb[#Headers],0))</f>
        <v>1</v>
      </c>
      <c r="AA20" s="22">
        <f>INDEX(ControlBits_Tb[],MATCH($G20,ControlBits_Tb[IR],0),MATCH(AA$1,ControlBits_Tb[#Headers],0))</f>
        <v>0</v>
      </c>
      <c r="AB20" s="22">
        <f>INDEX(ControlBits_Tb[],MATCH($G20,ControlBits_Tb[IR],0),MATCH(AB$1,ControlBits_Tb[#Headers],0))</f>
        <v>0</v>
      </c>
      <c r="AC20" s="22">
        <f>INDEX(ControlBits_Tb[],MATCH($G20,ControlBits_Tb[IR],0),MATCH(AC$1,ControlBits_Tb[#Headers],0))</f>
        <v>1</v>
      </c>
      <c r="AD20" s="22" t="str">
        <f>INDEX(ControlBits_Tb[],MATCH($G20,ControlBits_Tb[IR],0),MATCH(AD$1,ControlBits_Tb[#Headers],0))</f>
        <v>000059</v>
      </c>
      <c r="AE20" s="28" t="str">
        <f>Test[[#This Row],[16진수test]]</f>
        <v>000059</v>
      </c>
      <c r="AF20" s="29">
        <f t="shared" si="0"/>
        <v>1</v>
      </c>
      <c r="AG20" s="29">
        <f xml:space="preserve"> Test[[#This Row],[state]]</f>
        <v>7</v>
      </c>
      <c r="AH20" s="29">
        <f t="shared" si="1"/>
        <v>1</v>
      </c>
      <c r="AJ20" s="1"/>
    </row>
    <row r="21" spans="1:36">
      <c r="A21" s="39"/>
      <c r="B21" s="40"/>
      <c r="C21" s="40"/>
      <c r="D21" s="40"/>
      <c r="E21" s="40"/>
      <c r="F21" s="1">
        <v>8</v>
      </c>
      <c r="G21" s="9" t="s">
        <v>168</v>
      </c>
      <c r="H21" s="22">
        <f>INDEX(ControlBits_Tb[],MATCH($G21,ControlBits_Tb[IR],0),MATCH(H$1,ControlBits_Tb[#Headers],0))</f>
        <v>0</v>
      </c>
      <c r="I21" s="22">
        <f>INDEX(ControlBits_Tb[],MATCH($G21,ControlBits_Tb[IR],0),MATCH(I$1,ControlBits_Tb[#Headers],0))</f>
        <v>0</v>
      </c>
      <c r="J21" s="22">
        <f>INDEX(ControlBits_Tb[],MATCH($G21,ControlBits_Tb[IR],0),MATCH(J$1,ControlBits_Tb[#Headers],0))</f>
        <v>0</v>
      </c>
      <c r="K21" s="22">
        <f>INDEX(ControlBits_Tb[],MATCH($G21,ControlBits_Tb[IR],0),MATCH(K$1,ControlBits_Tb[#Headers],0))</f>
        <v>0</v>
      </c>
      <c r="L21" s="22">
        <f>INDEX(ControlBits_Tb[],MATCH($G21,ControlBits_Tb[IR],0),MATCH(L$1,ControlBits_Tb[#Headers],0))</f>
        <v>0</v>
      </c>
      <c r="M21" s="22">
        <f>INDEX(ControlBits_Tb[],MATCH($G21,ControlBits_Tb[IR],0),MATCH(M$1,ControlBits_Tb[#Headers],0))</f>
        <v>0</v>
      </c>
      <c r="N21" s="22">
        <f>INDEX(ControlBits_Tb[],MATCH($G21,ControlBits_Tb[IR],0),MATCH(N$1,ControlBits_Tb[#Headers],0))</f>
        <v>0</v>
      </c>
      <c r="O21" s="22">
        <f>INDEX(ControlBits_Tb[],MATCH($G21,ControlBits_Tb[IR],0),MATCH(O$1,ControlBits_Tb[#Headers],0))</f>
        <v>0</v>
      </c>
      <c r="P21" s="22">
        <f>INDEX(ControlBits_Tb[],MATCH($G21,ControlBits_Tb[IR],0),MATCH(P$1,ControlBits_Tb[#Headers],0))</f>
        <v>1</v>
      </c>
      <c r="Q21" s="22">
        <f>INDEX(ControlBits_Tb[],MATCH($G21,ControlBits_Tb[IR],0),MATCH(Q$1,ControlBits_Tb[#Headers],0))</f>
        <v>0</v>
      </c>
      <c r="R21" s="22">
        <f>INDEX(ControlBits_Tb[],MATCH($G21,ControlBits_Tb[IR],0),MATCH(R$1,ControlBits_Tb[#Headers],0))</f>
        <v>1</v>
      </c>
      <c r="S21" s="22">
        <f>INDEX(ControlBits_Tb[],MATCH($G21,ControlBits_Tb[IR],0),MATCH(S$1,ControlBits_Tb[#Headers],0))</f>
        <v>1</v>
      </c>
      <c r="T21" s="22">
        <f>INDEX(ControlBits_Tb[],MATCH($G21,ControlBits_Tb[IR],0),MATCH(T$1,ControlBits_Tb[#Headers],0))</f>
        <v>0</v>
      </c>
      <c r="U21" s="22">
        <f>INDEX(ControlBits_Tb[],MATCH($G21,ControlBits_Tb[IR],0),MATCH(U$1,ControlBits_Tb[#Headers],0))</f>
        <v>0</v>
      </c>
      <c r="V21" s="22">
        <f>INDEX(ControlBits_Tb[],MATCH($G21,ControlBits_Tb[IR],0),MATCH(V$1,ControlBits_Tb[#Headers],0))</f>
        <v>0</v>
      </c>
      <c r="W21" s="22">
        <f>INDEX(ControlBits_Tb[],MATCH($G21,ControlBits_Tb[IR],0),MATCH(W$1,ControlBits_Tb[#Headers],0))</f>
        <v>0</v>
      </c>
      <c r="X21" s="22">
        <f>INDEX(ControlBits_Tb[],MATCH($G21,ControlBits_Tb[IR],0),MATCH(X$1,ControlBits_Tb[#Headers],0))</f>
        <v>0</v>
      </c>
      <c r="Y21" s="22">
        <f>INDEX(ControlBits_Tb[],MATCH($G21,ControlBits_Tb[IR],0),MATCH(Y$1,ControlBits_Tb[#Headers],0))</f>
        <v>0</v>
      </c>
      <c r="Z21" s="22">
        <f>INDEX(ControlBits_Tb[],MATCH($G21,ControlBits_Tb[IR],0),MATCH(Z$1,ControlBits_Tb[#Headers],0))</f>
        <v>0</v>
      </c>
      <c r="AA21" s="22">
        <f>INDEX(ControlBits_Tb[],MATCH($G21,ControlBits_Tb[IR],0),MATCH(AA$1,ControlBits_Tb[#Headers],0))</f>
        <v>0</v>
      </c>
      <c r="AB21" s="22">
        <f>INDEX(ControlBits_Tb[],MATCH($G21,ControlBits_Tb[IR],0),MATCH(AB$1,ControlBits_Tb[#Headers],0))</f>
        <v>0</v>
      </c>
      <c r="AC21" s="22">
        <f>INDEX(ControlBits_Tb[],MATCH($G21,ControlBits_Tb[IR],0),MATCH(AC$1,ControlBits_Tb[#Headers],0))</f>
        <v>0</v>
      </c>
      <c r="AD21" s="22" t="str">
        <f>INDEX(ControlBits_Tb[],MATCH($G21,ControlBits_Tb[IR],0),MATCH(AD$1,ControlBits_Tb[#Headers],0))</f>
        <v>002c00</v>
      </c>
      <c r="AE21" s="28" t="str">
        <f>Test[[#This Row],[16진수test]]</f>
        <v>002C00</v>
      </c>
      <c r="AF21" s="29">
        <f t="shared" si="0"/>
        <v>1</v>
      </c>
      <c r="AG21" s="29">
        <f xml:space="preserve"> Test[[#This Row],[state]]</f>
        <v>8</v>
      </c>
      <c r="AH21" s="29">
        <f t="shared" si="1"/>
        <v>1</v>
      </c>
      <c r="AI21" s="1"/>
    </row>
    <row r="22" spans="1:36">
      <c r="A22" s="39">
        <v>5</v>
      </c>
      <c r="B22" s="40" t="s">
        <v>76</v>
      </c>
      <c r="C22" s="40" t="s">
        <v>123</v>
      </c>
      <c r="D22" s="40" t="s">
        <v>66</v>
      </c>
      <c r="E22" s="40" t="s">
        <v>77</v>
      </c>
      <c r="F22" s="1">
        <v>0</v>
      </c>
      <c r="G22" s="7" t="s">
        <v>26</v>
      </c>
      <c r="H22" s="22">
        <f>INDEX(ControlBits_Tb[],MATCH($G22,ControlBits_Tb[IR],0),MATCH(H$1,ControlBits_Tb[#Headers],0))</f>
        <v>0</v>
      </c>
      <c r="I22" s="22">
        <f>INDEX(ControlBits_Tb[],MATCH($G22,ControlBits_Tb[IR],0),MATCH(I$1,ControlBits_Tb[#Headers],0))</f>
        <v>1</v>
      </c>
      <c r="J22" s="22">
        <f>INDEX(ControlBits_Tb[],MATCH($G22,ControlBits_Tb[IR],0),MATCH(J$1,ControlBits_Tb[#Headers],0))</f>
        <v>1</v>
      </c>
      <c r="K22" s="22">
        <f>INDEX(ControlBits_Tb[],MATCH($G22,ControlBits_Tb[IR],0),MATCH(K$1,ControlBits_Tb[#Headers],0))</f>
        <v>1</v>
      </c>
      <c r="L22" s="22">
        <f>INDEX(ControlBits_Tb[],MATCH($G22,ControlBits_Tb[IR],0),MATCH(L$1,ControlBits_Tb[#Headers],0))</f>
        <v>0</v>
      </c>
      <c r="M22" s="22">
        <f>INDEX(ControlBits_Tb[],MATCH($G22,ControlBits_Tb[IR],0),MATCH(M$1,ControlBits_Tb[#Headers],0))</f>
        <v>1</v>
      </c>
      <c r="N22" s="22">
        <f>INDEX(ControlBits_Tb[],MATCH($G22,ControlBits_Tb[IR],0),MATCH(N$1,ControlBits_Tb[#Headers],0))</f>
        <v>0</v>
      </c>
      <c r="O22" s="22">
        <f>INDEX(ControlBits_Tb[],MATCH($G22,ControlBits_Tb[IR],0),MATCH(O$1,ControlBits_Tb[#Headers],0))</f>
        <v>1</v>
      </c>
      <c r="P22" s="22">
        <f>INDEX(ControlBits_Tb[],MATCH($G22,ControlBits_Tb[IR],0),MATCH(P$1,ControlBits_Tb[#Headers],0))</f>
        <v>0</v>
      </c>
      <c r="Q22" s="22">
        <f>INDEX(ControlBits_Tb[],MATCH($G22,ControlBits_Tb[IR],0),MATCH(Q$1,ControlBits_Tb[#Headers],0))</f>
        <v>0</v>
      </c>
      <c r="R22" s="22">
        <f>INDEX(ControlBits_Tb[],MATCH($G22,ControlBits_Tb[IR],0),MATCH(R$1,ControlBits_Tb[#Headers],0))</f>
        <v>0</v>
      </c>
      <c r="S22" s="22">
        <f>INDEX(ControlBits_Tb[],MATCH($G22,ControlBits_Tb[IR],0),MATCH(S$1,ControlBits_Tb[#Headers],0))</f>
        <v>0</v>
      </c>
      <c r="T22" s="22">
        <f>INDEX(ControlBits_Tb[],MATCH($G22,ControlBits_Tb[IR],0),MATCH(T$1,ControlBits_Tb[#Headers],0))</f>
        <v>0</v>
      </c>
      <c r="U22" s="22">
        <f>INDEX(ControlBits_Tb[],MATCH($G22,ControlBits_Tb[IR],0),MATCH(U$1,ControlBits_Tb[#Headers],0))</f>
        <v>0</v>
      </c>
      <c r="V22" s="22">
        <f>INDEX(ControlBits_Tb[],MATCH($G22,ControlBits_Tb[IR],0),MATCH(V$1,ControlBits_Tb[#Headers],0))</f>
        <v>0</v>
      </c>
      <c r="W22" s="22">
        <f>INDEX(ControlBits_Tb[],MATCH($G22,ControlBits_Tb[IR],0),MATCH(W$1,ControlBits_Tb[#Headers],0))</f>
        <v>0</v>
      </c>
      <c r="X22" s="22">
        <f>INDEX(ControlBits_Tb[],MATCH($G22,ControlBits_Tb[IR],0),MATCH(X$1,ControlBits_Tb[#Headers],0))</f>
        <v>0</v>
      </c>
      <c r="Y22" s="22">
        <f>INDEX(ControlBits_Tb[],MATCH($G22,ControlBits_Tb[IR],0),MATCH(Y$1,ControlBits_Tb[#Headers],0))</f>
        <v>0</v>
      </c>
      <c r="Z22" s="22">
        <f>INDEX(ControlBits_Tb[],MATCH($G22,ControlBits_Tb[IR],0),MATCH(Z$1,ControlBits_Tb[#Headers],0))</f>
        <v>0</v>
      </c>
      <c r="AA22" s="22">
        <f>INDEX(ControlBits_Tb[],MATCH($G22,ControlBits_Tb[IR],0),MATCH(AA$1,ControlBits_Tb[#Headers],0))</f>
        <v>0</v>
      </c>
      <c r="AB22" s="22">
        <f>INDEX(ControlBits_Tb[],MATCH($G22,ControlBits_Tb[IR],0),MATCH(AB$1,ControlBits_Tb[#Headers],0))</f>
        <v>0</v>
      </c>
      <c r="AC22" s="22">
        <f>INDEX(ControlBits_Tb[],MATCH($G22,ControlBits_Tb[IR],0),MATCH(AC$1,ControlBits_Tb[#Headers],0))</f>
        <v>0</v>
      </c>
      <c r="AD22" s="22" t="str">
        <f>INDEX(ControlBits_Tb[],MATCH($G22,ControlBits_Tb[IR],0),MATCH(AD$1,ControlBits_Tb[#Headers],0))</f>
        <v>1d4000</v>
      </c>
      <c r="AE22" s="28" t="str">
        <f>Test[[#This Row],[16진수test]]</f>
        <v>1D4000</v>
      </c>
      <c r="AF22" s="29">
        <f t="shared" si="0"/>
        <v>1</v>
      </c>
      <c r="AG22" s="29">
        <f xml:space="preserve"> Test[[#This Row],[state]]</f>
        <v>0</v>
      </c>
      <c r="AH22" s="29">
        <f t="shared" si="1"/>
        <v>1</v>
      </c>
      <c r="AI22" s="1"/>
    </row>
    <row r="23" spans="1:36">
      <c r="A23" s="39"/>
      <c r="B23" s="40"/>
      <c r="C23" s="40"/>
      <c r="D23" s="40"/>
      <c r="E23" s="40"/>
      <c r="F23" s="1">
        <v>1</v>
      </c>
      <c r="G23" s="7" t="s">
        <v>137</v>
      </c>
      <c r="H23" s="22">
        <f>INDEX(ControlBits_Tb[],MATCH($G23,ControlBits_Tb[IR],0),MATCH(H$1,ControlBits_Tb[#Headers],0))</f>
        <v>0</v>
      </c>
      <c r="I23" s="22">
        <f>INDEX(ControlBits_Tb[],MATCH($G23,ControlBits_Tb[IR],0),MATCH(I$1,ControlBits_Tb[#Headers],0))</f>
        <v>0</v>
      </c>
      <c r="J23" s="22">
        <f>INDEX(ControlBits_Tb[],MATCH($G23,ControlBits_Tb[IR],0),MATCH(J$1,ControlBits_Tb[#Headers],0))</f>
        <v>0</v>
      </c>
      <c r="K23" s="22">
        <f>INDEX(ControlBits_Tb[],MATCH($G23,ControlBits_Tb[IR],0),MATCH(K$1,ControlBits_Tb[#Headers],0))</f>
        <v>0</v>
      </c>
      <c r="L23" s="22">
        <f>INDEX(ControlBits_Tb[],MATCH($G23,ControlBits_Tb[IR],0),MATCH(L$1,ControlBits_Tb[#Headers],0))</f>
        <v>0</v>
      </c>
      <c r="M23" s="22">
        <f>INDEX(ControlBits_Tb[],MATCH($G23,ControlBits_Tb[IR],0),MATCH(M$1,ControlBits_Tb[#Headers],0))</f>
        <v>0</v>
      </c>
      <c r="N23" s="22">
        <f>INDEX(ControlBits_Tb[],MATCH($G23,ControlBits_Tb[IR],0),MATCH(N$1,ControlBits_Tb[#Headers],0))</f>
        <v>0</v>
      </c>
      <c r="O23" s="22">
        <f>INDEX(ControlBits_Tb[],MATCH($G23,ControlBits_Tb[IR],0),MATCH(O$1,ControlBits_Tb[#Headers],0))</f>
        <v>0</v>
      </c>
      <c r="P23" s="22">
        <f>INDEX(ControlBits_Tb[],MATCH($G23,ControlBits_Tb[IR],0),MATCH(P$1,ControlBits_Tb[#Headers],0))</f>
        <v>0</v>
      </c>
      <c r="Q23" s="22">
        <f>INDEX(ControlBits_Tb[],MATCH($G23,ControlBits_Tb[IR],0),MATCH(Q$1,ControlBits_Tb[#Headers],0))</f>
        <v>0</v>
      </c>
      <c r="R23" s="22">
        <f>INDEX(ControlBits_Tb[],MATCH($G23,ControlBits_Tb[IR],0),MATCH(R$1,ControlBits_Tb[#Headers],0))</f>
        <v>0</v>
      </c>
      <c r="S23" s="22">
        <f>INDEX(ControlBits_Tb[],MATCH($G23,ControlBits_Tb[IR],0),MATCH(S$1,ControlBits_Tb[#Headers],0))</f>
        <v>0</v>
      </c>
      <c r="T23" s="22">
        <f>INDEX(ControlBits_Tb[],MATCH($G23,ControlBits_Tb[IR],0),MATCH(T$1,ControlBits_Tb[#Headers],0))</f>
        <v>0</v>
      </c>
      <c r="U23" s="22">
        <f>INDEX(ControlBits_Tb[],MATCH($G23,ControlBits_Tb[IR],0),MATCH(U$1,ControlBits_Tb[#Headers],0))</f>
        <v>0</v>
      </c>
      <c r="V23" s="22">
        <f>INDEX(ControlBits_Tb[],MATCH($G23,ControlBits_Tb[IR],0),MATCH(V$1,ControlBits_Tb[#Headers],0))</f>
        <v>0</v>
      </c>
      <c r="W23" s="22">
        <f>INDEX(ControlBits_Tb[],MATCH($G23,ControlBits_Tb[IR],0),MATCH(W$1,ControlBits_Tb[#Headers],0))</f>
        <v>0</v>
      </c>
      <c r="X23" s="22">
        <f>INDEX(ControlBits_Tb[],MATCH($G23,ControlBits_Tb[IR],0),MATCH(X$1,ControlBits_Tb[#Headers],0))</f>
        <v>1</v>
      </c>
      <c r="Y23" s="22">
        <f>INDEX(ControlBits_Tb[],MATCH($G23,ControlBits_Tb[IR],0),MATCH(Y$1,ControlBits_Tb[#Headers],0))</f>
        <v>1</v>
      </c>
      <c r="Z23" s="22">
        <f>INDEX(ControlBits_Tb[],MATCH($G23,ControlBits_Tb[IR],0),MATCH(Z$1,ControlBits_Tb[#Headers],0))</f>
        <v>0</v>
      </c>
      <c r="AA23" s="22">
        <f>INDEX(ControlBits_Tb[],MATCH($G23,ControlBits_Tb[IR],0),MATCH(AA$1,ControlBits_Tb[#Headers],0))</f>
        <v>0</v>
      </c>
      <c r="AB23" s="22">
        <f>INDEX(ControlBits_Tb[],MATCH($G23,ControlBits_Tb[IR],0),MATCH(AB$1,ControlBits_Tb[#Headers],0))</f>
        <v>0</v>
      </c>
      <c r="AC23" s="22">
        <f>INDEX(ControlBits_Tb[],MATCH($G23,ControlBits_Tb[IR],0),MATCH(AC$1,ControlBits_Tb[#Headers],0))</f>
        <v>0</v>
      </c>
      <c r="AD23" s="22" t="str">
        <f>INDEX(ControlBits_Tb[],MATCH($G23,ControlBits_Tb[IR],0),MATCH(AD$1,ControlBits_Tb[#Headers],0))</f>
        <v>000030</v>
      </c>
      <c r="AE23" s="28" t="str">
        <f>Test[[#This Row],[16진수test]]</f>
        <v>000030</v>
      </c>
      <c r="AF23" s="29">
        <f t="shared" si="0"/>
        <v>1</v>
      </c>
      <c r="AG23" s="29">
        <f xml:space="preserve"> Test[[#This Row],[state]]</f>
        <v>1</v>
      </c>
      <c r="AH23" s="29">
        <f t="shared" si="1"/>
        <v>1</v>
      </c>
      <c r="AI23" s="1"/>
    </row>
    <row r="24" spans="1:36">
      <c r="A24" s="39"/>
      <c r="B24" s="40"/>
      <c r="C24" s="40"/>
      <c r="D24" s="40"/>
      <c r="E24" s="40"/>
      <c r="F24" s="1">
        <v>7</v>
      </c>
      <c r="G24" s="9" t="s">
        <v>140</v>
      </c>
      <c r="H24" s="22">
        <f>INDEX(ControlBits_Tb[],MATCH($G24,ControlBits_Tb[IR],0),MATCH(H$1,ControlBits_Tb[#Headers],0))</f>
        <v>0</v>
      </c>
      <c r="I24" s="22">
        <f>INDEX(ControlBits_Tb[],MATCH($G24,ControlBits_Tb[IR],0),MATCH(I$1,ControlBits_Tb[#Headers],0))</f>
        <v>0</v>
      </c>
      <c r="J24" s="22">
        <f>INDEX(ControlBits_Tb[],MATCH($G24,ControlBits_Tb[IR],0),MATCH(J$1,ControlBits_Tb[#Headers],0))</f>
        <v>0</v>
      </c>
      <c r="K24" s="22">
        <f>INDEX(ControlBits_Tb[],MATCH($G24,ControlBits_Tb[IR],0),MATCH(K$1,ControlBits_Tb[#Headers],0))</f>
        <v>0</v>
      </c>
      <c r="L24" s="22">
        <f>INDEX(ControlBits_Tb[],MATCH($G24,ControlBits_Tb[IR],0),MATCH(L$1,ControlBits_Tb[#Headers],0))</f>
        <v>0</v>
      </c>
      <c r="M24" s="22">
        <f>INDEX(ControlBits_Tb[],MATCH($G24,ControlBits_Tb[IR],0),MATCH(M$1,ControlBits_Tb[#Headers],0))</f>
        <v>0</v>
      </c>
      <c r="N24" s="22">
        <f>INDEX(ControlBits_Tb[],MATCH($G24,ControlBits_Tb[IR],0),MATCH(N$1,ControlBits_Tb[#Headers],0))</f>
        <v>0</v>
      </c>
      <c r="O24" s="22">
        <f>INDEX(ControlBits_Tb[],MATCH($G24,ControlBits_Tb[IR],0),MATCH(O$1,ControlBits_Tb[#Headers],0))</f>
        <v>0</v>
      </c>
      <c r="P24" s="22">
        <f>INDEX(ControlBits_Tb[],MATCH($G24,ControlBits_Tb[IR],0),MATCH(P$1,ControlBits_Tb[#Headers],0))</f>
        <v>0</v>
      </c>
      <c r="Q24" s="22">
        <f>INDEX(ControlBits_Tb[],MATCH($G24,ControlBits_Tb[IR],0),MATCH(Q$1,ControlBits_Tb[#Headers],0))</f>
        <v>0</v>
      </c>
      <c r="R24" s="22">
        <f>INDEX(ControlBits_Tb[],MATCH($G24,ControlBits_Tb[IR],0),MATCH(R$1,ControlBits_Tb[#Headers],0))</f>
        <v>0</v>
      </c>
      <c r="S24" s="22">
        <f>INDEX(ControlBits_Tb[],MATCH($G24,ControlBits_Tb[IR],0),MATCH(S$1,ControlBits_Tb[#Headers],0))</f>
        <v>0</v>
      </c>
      <c r="T24" s="22">
        <f>INDEX(ControlBits_Tb[],MATCH($G24,ControlBits_Tb[IR],0),MATCH(T$1,ControlBits_Tb[#Headers],0))</f>
        <v>0</v>
      </c>
      <c r="U24" s="22">
        <f>INDEX(ControlBits_Tb[],MATCH($G24,ControlBits_Tb[IR],0),MATCH(U$1,ControlBits_Tb[#Headers],0))</f>
        <v>0</v>
      </c>
      <c r="V24" s="22">
        <f>INDEX(ControlBits_Tb[],MATCH($G24,ControlBits_Tb[IR],0),MATCH(V$1,ControlBits_Tb[#Headers],0))</f>
        <v>0</v>
      </c>
      <c r="W24" s="22">
        <f>INDEX(ControlBits_Tb[],MATCH($G24,ControlBits_Tb[IR],0),MATCH(W$1,ControlBits_Tb[#Headers],0))</f>
        <v>1</v>
      </c>
      <c r="X24" s="22">
        <f>INDEX(ControlBits_Tb[],MATCH($G24,ControlBits_Tb[IR],0),MATCH(X$1,ControlBits_Tb[#Headers],0))</f>
        <v>0</v>
      </c>
      <c r="Y24" s="22">
        <f>INDEX(ControlBits_Tb[],MATCH($G24,ControlBits_Tb[IR],0),MATCH(Y$1,ControlBits_Tb[#Headers],0))</f>
        <v>1</v>
      </c>
      <c r="Z24" s="22">
        <f>INDEX(ControlBits_Tb[],MATCH($G24,ControlBits_Tb[IR],0),MATCH(Z$1,ControlBits_Tb[#Headers],0))</f>
        <v>1</v>
      </c>
      <c r="AA24" s="22">
        <f>INDEX(ControlBits_Tb[],MATCH($G24,ControlBits_Tb[IR],0),MATCH(AA$1,ControlBits_Tb[#Headers],0))</f>
        <v>1</v>
      </c>
      <c r="AB24" s="22">
        <f>INDEX(ControlBits_Tb[],MATCH($G24,ControlBits_Tb[IR],0),MATCH(AB$1,ControlBits_Tb[#Headers],0))</f>
        <v>0</v>
      </c>
      <c r="AC24" s="22">
        <f>INDEX(ControlBits_Tb[],MATCH($G24,ControlBits_Tb[IR],0),MATCH(AC$1,ControlBits_Tb[#Headers],0))</f>
        <v>1</v>
      </c>
      <c r="AD24" s="22" t="str">
        <f>INDEX(ControlBits_Tb[],MATCH($G24,ControlBits_Tb[IR],0),MATCH(AD$1,ControlBits_Tb[#Headers],0))</f>
        <v>00005d</v>
      </c>
      <c r="AE24" s="28" t="str">
        <f>Test[[#This Row],[16진수test]]</f>
        <v>00005D</v>
      </c>
      <c r="AF24" s="29">
        <f t="shared" si="0"/>
        <v>1</v>
      </c>
      <c r="AG24" s="29">
        <f xml:space="preserve"> Test[[#This Row],[state]]</f>
        <v>7</v>
      </c>
      <c r="AH24" s="29">
        <f t="shared" si="1"/>
        <v>1</v>
      </c>
      <c r="AI24" s="1"/>
    </row>
    <row r="25" spans="1:36">
      <c r="A25" s="39"/>
      <c r="B25" s="40"/>
      <c r="C25" s="40"/>
      <c r="D25" s="40"/>
      <c r="E25" s="40"/>
      <c r="F25" s="1">
        <v>8</v>
      </c>
      <c r="G25" s="9" t="s">
        <v>168</v>
      </c>
      <c r="H25" s="22">
        <f>INDEX(ControlBits_Tb[],MATCH($G25,ControlBits_Tb[IR],0),MATCH(H$1,ControlBits_Tb[#Headers],0))</f>
        <v>0</v>
      </c>
      <c r="I25" s="22">
        <f>INDEX(ControlBits_Tb[],MATCH($G25,ControlBits_Tb[IR],0),MATCH(I$1,ControlBits_Tb[#Headers],0))</f>
        <v>0</v>
      </c>
      <c r="J25" s="22">
        <f>INDEX(ControlBits_Tb[],MATCH($G25,ControlBits_Tb[IR],0),MATCH(J$1,ControlBits_Tb[#Headers],0))</f>
        <v>0</v>
      </c>
      <c r="K25" s="22">
        <f>INDEX(ControlBits_Tb[],MATCH($G25,ControlBits_Tb[IR],0),MATCH(K$1,ControlBits_Tb[#Headers],0))</f>
        <v>0</v>
      </c>
      <c r="L25" s="22">
        <f>INDEX(ControlBits_Tb[],MATCH($G25,ControlBits_Tb[IR],0),MATCH(L$1,ControlBits_Tb[#Headers],0))</f>
        <v>0</v>
      </c>
      <c r="M25" s="22">
        <f>INDEX(ControlBits_Tb[],MATCH($G25,ControlBits_Tb[IR],0),MATCH(M$1,ControlBits_Tb[#Headers],0))</f>
        <v>0</v>
      </c>
      <c r="N25" s="22">
        <f>INDEX(ControlBits_Tb[],MATCH($G25,ControlBits_Tb[IR],0),MATCH(N$1,ControlBits_Tb[#Headers],0))</f>
        <v>0</v>
      </c>
      <c r="O25" s="22">
        <f>INDEX(ControlBits_Tb[],MATCH($G25,ControlBits_Tb[IR],0),MATCH(O$1,ControlBits_Tb[#Headers],0))</f>
        <v>0</v>
      </c>
      <c r="P25" s="22">
        <f>INDEX(ControlBits_Tb[],MATCH($G25,ControlBits_Tb[IR],0),MATCH(P$1,ControlBits_Tb[#Headers],0))</f>
        <v>1</v>
      </c>
      <c r="Q25" s="22">
        <f>INDEX(ControlBits_Tb[],MATCH($G25,ControlBits_Tb[IR],0),MATCH(Q$1,ControlBits_Tb[#Headers],0))</f>
        <v>0</v>
      </c>
      <c r="R25" s="22">
        <f>INDEX(ControlBits_Tb[],MATCH($G25,ControlBits_Tb[IR],0),MATCH(R$1,ControlBits_Tb[#Headers],0))</f>
        <v>1</v>
      </c>
      <c r="S25" s="22">
        <f>INDEX(ControlBits_Tb[],MATCH($G25,ControlBits_Tb[IR],0),MATCH(S$1,ControlBits_Tb[#Headers],0))</f>
        <v>1</v>
      </c>
      <c r="T25" s="22">
        <f>INDEX(ControlBits_Tb[],MATCH($G25,ControlBits_Tb[IR],0),MATCH(T$1,ControlBits_Tb[#Headers],0))</f>
        <v>0</v>
      </c>
      <c r="U25" s="22">
        <f>INDEX(ControlBits_Tb[],MATCH($G25,ControlBits_Tb[IR],0),MATCH(U$1,ControlBits_Tb[#Headers],0))</f>
        <v>0</v>
      </c>
      <c r="V25" s="22">
        <f>INDEX(ControlBits_Tb[],MATCH($G25,ControlBits_Tb[IR],0),MATCH(V$1,ControlBits_Tb[#Headers],0))</f>
        <v>0</v>
      </c>
      <c r="W25" s="22">
        <f>INDEX(ControlBits_Tb[],MATCH($G25,ControlBits_Tb[IR],0),MATCH(W$1,ControlBits_Tb[#Headers],0))</f>
        <v>0</v>
      </c>
      <c r="X25" s="22">
        <f>INDEX(ControlBits_Tb[],MATCH($G25,ControlBits_Tb[IR],0),MATCH(X$1,ControlBits_Tb[#Headers],0))</f>
        <v>0</v>
      </c>
      <c r="Y25" s="22">
        <f>INDEX(ControlBits_Tb[],MATCH($G25,ControlBits_Tb[IR],0),MATCH(Y$1,ControlBits_Tb[#Headers],0))</f>
        <v>0</v>
      </c>
      <c r="Z25" s="22">
        <f>INDEX(ControlBits_Tb[],MATCH($G25,ControlBits_Tb[IR],0),MATCH(Z$1,ControlBits_Tb[#Headers],0))</f>
        <v>0</v>
      </c>
      <c r="AA25" s="22">
        <f>INDEX(ControlBits_Tb[],MATCH($G25,ControlBits_Tb[IR],0),MATCH(AA$1,ControlBits_Tb[#Headers],0))</f>
        <v>0</v>
      </c>
      <c r="AB25" s="22">
        <f>INDEX(ControlBits_Tb[],MATCH($G25,ControlBits_Tb[IR],0),MATCH(AB$1,ControlBits_Tb[#Headers],0))</f>
        <v>0</v>
      </c>
      <c r="AC25" s="22">
        <f>INDEX(ControlBits_Tb[],MATCH($G25,ControlBits_Tb[IR],0),MATCH(AC$1,ControlBits_Tb[#Headers],0))</f>
        <v>0</v>
      </c>
      <c r="AD25" s="22" t="str">
        <f>INDEX(ControlBits_Tb[],MATCH($G25,ControlBits_Tb[IR],0),MATCH(AD$1,ControlBits_Tb[#Headers],0))</f>
        <v>002c00</v>
      </c>
      <c r="AE25" s="28" t="str">
        <f>Test[[#This Row],[16진수test]]</f>
        <v>002C00</v>
      </c>
      <c r="AF25" s="29">
        <f t="shared" si="0"/>
        <v>1</v>
      </c>
      <c r="AG25" s="29">
        <f xml:space="preserve"> Test[[#This Row],[state]]</f>
        <v>8</v>
      </c>
      <c r="AH25" s="29">
        <f t="shared" si="1"/>
        <v>1</v>
      </c>
      <c r="AI25" s="1"/>
    </row>
    <row r="26" spans="1:36">
      <c r="A26" s="39">
        <v>6</v>
      </c>
      <c r="B26" s="40" t="s">
        <v>78</v>
      </c>
      <c r="C26" s="40" t="s">
        <v>123</v>
      </c>
      <c r="D26" s="40" t="s">
        <v>66</v>
      </c>
      <c r="E26" s="40">
        <v>0</v>
      </c>
      <c r="F26" s="1">
        <v>0</v>
      </c>
      <c r="G26" s="7" t="s">
        <v>26</v>
      </c>
      <c r="H26" s="22">
        <f>INDEX(ControlBits_Tb[],MATCH($G26,ControlBits_Tb[IR],0),MATCH(H$1,ControlBits_Tb[#Headers],0))</f>
        <v>0</v>
      </c>
      <c r="I26" s="22">
        <f>INDEX(ControlBits_Tb[],MATCH($G26,ControlBits_Tb[IR],0),MATCH(I$1,ControlBits_Tb[#Headers],0))</f>
        <v>1</v>
      </c>
      <c r="J26" s="22">
        <f>INDEX(ControlBits_Tb[],MATCH($G26,ControlBits_Tb[IR],0),MATCH(J$1,ControlBits_Tb[#Headers],0))</f>
        <v>1</v>
      </c>
      <c r="K26" s="22">
        <f>INDEX(ControlBits_Tb[],MATCH($G26,ControlBits_Tb[IR],0),MATCH(K$1,ControlBits_Tb[#Headers],0))</f>
        <v>1</v>
      </c>
      <c r="L26" s="22">
        <f>INDEX(ControlBits_Tb[],MATCH($G26,ControlBits_Tb[IR],0),MATCH(L$1,ControlBits_Tb[#Headers],0))</f>
        <v>0</v>
      </c>
      <c r="M26" s="22">
        <f>INDEX(ControlBits_Tb[],MATCH($G26,ControlBits_Tb[IR],0),MATCH(M$1,ControlBits_Tb[#Headers],0))</f>
        <v>1</v>
      </c>
      <c r="N26" s="22">
        <f>INDEX(ControlBits_Tb[],MATCH($G26,ControlBits_Tb[IR],0),MATCH(N$1,ControlBits_Tb[#Headers],0))</f>
        <v>0</v>
      </c>
      <c r="O26" s="22">
        <f>INDEX(ControlBits_Tb[],MATCH($G26,ControlBits_Tb[IR],0),MATCH(O$1,ControlBits_Tb[#Headers],0))</f>
        <v>1</v>
      </c>
      <c r="P26" s="22">
        <f>INDEX(ControlBits_Tb[],MATCH($G26,ControlBits_Tb[IR],0),MATCH(P$1,ControlBits_Tb[#Headers],0))</f>
        <v>0</v>
      </c>
      <c r="Q26" s="22">
        <f>INDEX(ControlBits_Tb[],MATCH($G26,ControlBits_Tb[IR],0),MATCH(Q$1,ControlBits_Tb[#Headers],0))</f>
        <v>0</v>
      </c>
      <c r="R26" s="22">
        <f>INDEX(ControlBits_Tb[],MATCH($G26,ControlBits_Tb[IR],0),MATCH(R$1,ControlBits_Tb[#Headers],0))</f>
        <v>0</v>
      </c>
      <c r="S26" s="22">
        <f>INDEX(ControlBits_Tb[],MATCH($G26,ControlBits_Tb[IR],0),MATCH(S$1,ControlBits_Tb[#Headers],0))</f>
        <v>0</v>
      </c>
      <c r="T26" s="22">
        <f>INDEX(ControlBits_Tb[],MATCH($G26,ControlBits_Tb[IR],0),MATCH(T$1,ControlBits_Tb[#Headers],0))</f>
        <v>0</v>
      </c>
      <c r="U26" s="22">
        <f>INDEX(ControlBits_Tb[],MATCH($G26,ControlBits_Tb[IR],0),MATCH(U$1,ControlBits_Tb[#Headers],0))</f>
        <v>0</v>
      </c>
      <c r="V26" s="22">
        <f>INDEX(ControlBits_Tb[],MATCH($G26,ControlBits_Tb[IR],0),MATCH(V$1,ControlBits_Tb[#Headers],0))</f>
        <v>0</v>
      </c>
      <c r="W26" s="22">
        <f>INDEX(ControlBits_Tb[],MATCH($G26,ControlBits_Tb[IR],0),MATCH(W$1,ControlBits_Tb[#Headers],0))</f>
        <v>0</v>
      </c>
      <c r="X26" s="22">
        <f>INDEX(ControlBits_Tb[],MATCH($G26,ControlBits_Tb[IR],0),MATCH(X$1,ControlBits_Tb[#Headers],0))</f>
        <v>0</v>
      </c>
      <c r="Y26" s="22">
        <f>INDEX(ControlBits_Tb[],MATCH($G26,ControlBits_Tb[IR],0),MATCH(Y$1,ControlBits_Tb[#Headers],0))</f>
        <v>0</v>
      </c>
      <c r="Z26" s="22">
        <f>INDEX(ControlBits_Tb[],MATCH($G26,ControlBits_Tb[IR],0),MATCH(Z$1,ControlBits_Tb[#Headers],0))</f>
        <v>0</v>
      </c>
      <c r="AA26" s="22">
        <f>INDEX(ControlBits_Tb[],MATCH($G26,ControlBits_Tb[IR],0),MATCH(AA$1,ControlBits_Tb[#Headers],0))</f>
        <v>0</v>
      </c>
      <c r="AB26" s="22">
        <f>INDEX(ControlBits_Tb[],MATCH($G26,ControlBits_Tb[IR],0),MATCH(AB$1,ControlBits_Tb[#Headers],0))</f>
        <v>0</v>
      </c>
      <c r="AC26" s="22">
        <f>INDEX(ControlBits_Tb[],MATCH($G26,ControlBits_Tb[IR],0),MATCH(AC$1,ControlBits_Tb[#Headers],0))</f>
        <v>0</v>
      </c>
      <c r="AD26" s="22" t="str">
        <f>INDEX(ControlBits_Tb[],MATCH($G26,ControlBits_Tb[IR],0),MATCH(AD$1,ControlBits_Tb[#Headers],0))</f>
        <v>1d4000</v>
      </c>
      <c r="AE26" s="28" t="str">
        <f>Test[[#This Row],[16진수test]]</f>
        <v>1D4000</v>
      </c>
      <c r="AF26" s="29">
        <f t="shared" si="0"/>
        <v>1</v>
      </c>
      <c r="AG26" s="29">
        <f xml:space="preserve"> Test[[#This Row],[state]]</f>
        <v>0</v>
      </c>
      <c r="AH26" s="29">
        <f t="shared" si="1"/>
        <v>1</v>
      </c>
      <c r="AI26" s="1" t="s">
        <v>78</v>
      </c>
      <c r="AJ26" s="1" t="s">
        <v>84</v>
      </c>
    </row>
    <row r="27" spans="1:36">
      <c r="A27" s="39"/>
      <c r="B27" s="40"/>
      <c r="C27" s="40"/>
      <c r="D27" s="40"/>
      <c r="E27" s="40"/>
      <c r="F27" s="1">
        <v>1</v>
      </c>
      <c r="G27" s="7" t="s">
        <v>137</v>
      </c>
      <c r="H27" s="22">
        <f>INDEX(ControlBits_Tb[],MATCH($G27,ControlBits_Tb[IR],0),MATCH(H$1,ControlBits_Tb[#Headers],0))</f>
        <v>0</v>
      </c>
      <c r="I27" s="22">
        <f>INDEX(ControlBits_Tb[],MATCH($G27,ControlBits_Tb[IR],0),MATCH(I$1,ControlBits_Tb[#Headers],0))</f>
        <v>0</v>
      </c>
      <c r="J27" s="22">
        <f>INDEX(ControlBits_Tb[],MATCH($G27,ControlBits_Tb[IR],0),MATCH(J$1,ControlBits_Tb[#Headers],0))</f>
        <v>0</v>
      </c>
      <c r="K27" s="22">
        <f>INDEX(ControlBits_Tb[],MATCH($G27,ControlBits_Tb[IR],0),MATCH(K$1,ControlBits_Tb[#Headers],0))</f>
        <v>0</v>
      </c>
      <c r="L27" s="22">
        <f>INDEX(ControlBits_Tb[],MATCH($G27,ControlBits_Tb[IR],0),MATCH(L$1,ControlBits_Tb[#Headers],0))</f>
        <v>0</v>
      </c>
      <c r="M27" s="22">
        <f>INDEX(ControlBits_Tb[],MATCH($G27,ControlBits_Tb[IR],0),MATCH(M$1,ControlBits_Tb[#Headers],0))</f>
        <v>0</v>
      </c>
      <c r="N27" s="22">
        <f>INDEX(ControlBits_Tb[],MATCH($G27,ControlBits_Tb[IR],0),MATCH(N$1,ControlBits_Tb[#Headers],0))</f>
        <v>0</v>
      </c>
      <c r="O27" s="22">
        <f>INDEX(ControlBits_Tb[],MATCH($G27,ControlBits_Tb[IR],0),MATCH(O$1,ControlBits_Tb[#Headers],0))</f>
        <v>0</v>
      </c>
      <c r="P27" s="22">
        <f>INDEX(ControlBits_Tb[],MATCH($G27,ControlBits_Tb[IR],0),MATCH(P$1,ControlBits_Tb[#Headers],0))</f>
        <v>0</v>
      </c>
      <c r="Q27" s="22">
        <f>INDEX(ControlBits_Tb[],MATCH($G27,ControlBits_Tb[IR],0),MATCH(Q$1,ControlBits_Tb[#Headers],0))</f>
        <v>0</v>
      </c>
      <c r="R27" s="22">
        <f>INDEX(ControlBits_Tb[],MATCH($G27,ControlBits_Tb[IR],0),MATCH(R$1,ControlBits_Tb[#Headers],0))</f>
        <v>0</v>
      </c>
      <c r="S27" s="22">
        <f>INDEX(ControlBits_Tb[],MATCH($G27,ControlBits_Tb[IR],0),MATCH(S$1,ControlBits_Tb[#Headers],0))</f>
        <v>0</v>
      </c>
      <c r="T27" s="22">
        <f>INDEX(ControlBits_Tb[],MATCH($G27,ControlBits_Tb[IR],0),MATCH(T$1,ControlBits_Tb[#Headers],0))</f>
        <v>0</v>
      </c>
      <c r="U27" s="22">
        <f>INDEX(ControlBits_Tb[],MATCH($G27,ControlBits_Tb[IR],0),MATCH(U$1,ControlBits_Tb[#Headers],0))</f>
        <v>0</v>
      </c>
      <c r="V27" s="22">
        <f>INDEX(ControlBits_Tb[],MATCH($G27,ControlBits_Tb[IR],0),MATCH(V$1,ControlBits_Tb[#Headers],0))</f>
        <v>0</v>
      </c>
      <c r="W27" s="22">
        <f>INDEX(ControlBits_Tb[],MATCH($G27,ControlBits_Tb[IR],0),MATCH(W$1,ControlBits_Tb[#Headers],0))</f>
        <v>0</v>
      </c>
      <c r="X27" s="22">
        <f>INDEX(ControlBits_Tb[],MATCH($G27,ControlBits_Tb[IR],0),MATCH(X$1,ControlBits_Tb[#Headers],0))</f>
        <v>1</v>
      </c>
      <c r="Y27" s="22">
        <f>INDEX(ControlBits_Tb[],MATCH($G27,ControlBits_Tb[IR],0),MATCH(Y$1,ControlBits_Tb[#Headers],0))</f>
        <v>1</v>
      </c>
      <c r="Z27" s="22">
        <f>INDEX(ControlBits_Tb[],MATCH($G27,ControlBits_Tb[IR],0),MATCH(Z$1,ControlBits_Tb[#Headers],0))</f>
        <v>0</v>
      </c>
      <c r="AA27" s="22">
        <f>INDEX(ControlBits_Tb[],MATCH($G27,ControlBits_Tb[IR],0),MATCH(AA$1,ControlBits_Tb[#Headers],0))</f>
        <v>0</v>
      </c>
      <c r="AB27" s="22">
        <f>INDEX(ControlBits_Tb[],MATCH($G27,ControlBits_Tb[IR],0),MATCH(AB$1,ControlBits_Tb[#Headers],0))</f>
        <v>0</v>
      </c>
      <c r="AC27" s="22">
        <f>INDEX(ControlBits_Tb[],MATCH($G27,ControlBits_Tb[IR],0),MATCH(AC$1,ControlBits_Tb[#Headers],0))</f>
        <v>0</v>
      </c>
      <c r="AD27" s="22" t="str">
        <f>INDEX(ControlBits_Tb[],MATCH($G27,ControlBits_Tb[IR],0),MATCH(AD$1,ControlBits_Tb[#Headers],0))</f>
        <v>000030</v>
      </c>
      <c r="AE27" s="28" t="str">
        <f>Test[[#This Row],[16진수test]]</f>
        <v>000030</v>
      </c>
      <c r="AF27" s="29">
        <f t="shared" si="0"/>
        <v>1</v>
      </c>
      <c r="AG27" s="29">
        <f xml:space="preserve"> Test[[#This Row],[state]]</f>
        <v>1</v>
      </c>
      <c r="AH27" s="29">
        <f t="shared" si="1"/>
        <v>1</v>
      </c>
      <c r="AI27" s="1" t="s">
        <v>78</v>
      </c>
      <c r="AJ27" s="1" t="s">
        <v>84</v>
      </c>
    </row>
    <row r="28" spans="1:36">
      <c r="A28" s="39"/>
      <c r="B28" s="40"/>
      <c r="C28" s="40"/>
      <c r="D28" s="40"/>
      <c r="E28" s="40"/>
      <c r="F28" s="1">
        <v>7</v>
      </c>
      <c r="G28" s="9" t="s">
        <v>171</v>
      </c>
      <c r="H28" s="22">
        <f>INDEX(ControlBits_Tb[],MATCH($G28,ControlBits_Tb[IR],0),MATCH(H$1,ControlBits_Tb[#Headers],0))</f>
        <v>0</v>
      </c>
      <c r="I28" s="22">
        <f>INDEX(ControlBits_Tb[],MATCH($G28,ControlBits_Tb[IR],0),MATCH(I$1,ControlBits_Tb[#Headers],0))</f>
        <v>0</v>
      </c>
      <c r="J28" s="22">
        <f>INDEX(ControlBits_Tb[],MATCH($G28,ControlBits_Tb[IR],0),MATCH(J$1,ControlBits_Tb[#Headers],0))</f>
        <v>0</v>
      </c>
      <c r="K28" s="22">
        <f>INDEX(ControlBits_Tb[],MATCH($G28,ControlBits_Tb[IR],0),MATCH(K$1,ControlBits_Tb[#Headers],0))</f>
        <v>0</v>
      </c>
      <c r="L28" s="22">
        <f>INDEX(ControlBits_Tb[],MATCH($G28,ControlBits_Tb[IR],0),MATCH(L$1,ControlBits_Tb[#Headers],0))</f>
        <v>0</v>
      </c>
      <c r="M28" s="22">
        <f>INDEX(ControlBits_Tb[],MATCH($G28,ControlBits_Tb[IR],0),MATCH(M$1,ControlBits_Tb[#Headers],0))</f>
        <v>0</v>
      </c>
      <c r="N28" s="22">
        <f>INDEX(ControlBits_Tb[],MATCH($G28,ControlBits_Tb[IR],0),MATCH(N$1,ControlBits_Tb[#Headers],0))</f>
        <v>0</v>
      </c>
      <c r="O28" s="22">
        <f>INDEX(ControlBits_Tb[],MATCH($G28,ControlBits_Tb[IR],0),MATCH(O$1,ControlBits_Tb[#Headers],0))</f>
        <v>0</v>
      </c>
      <c r="P28" s="22">
        <f>INDEX(ControlBits_Tb[],MATCH($G28,ControlBits_Tb[IR],0),MATCH(P$1,ControlBits_Tb[#Headers],0))</f>
        <v>0</v>
      </c>
      <c r="Q28" s="22">
        <f>INDEX(ControlBits_Tb[],MATCH($G28,ControlBits_Tb[IR],0),MATCH(Q$1,ControlBits_Tb[#Headers],0))</f>
        <v>0</v>
      </c>
      <c r="R28" s="22">
        <f>INDEX(ControlBits_Tb[],MATCH($G28,ControlBits_Tb[IR],0),MATCH(R$1,ControlBits_Tb[#Headers],0))</f>
        <v>0</v>
      </c>
      <c r="S28" s="22">
        <f>INDEX(ControlBits_Tb[],MATCH($G28,ControlBits_Tb[IR],0),MATCH(S$1,ControlBits_Tb[#Headers],0))</f>
        <v>0</v>
      </c>
      <c r="T28" s="22">
        <f>INDEX(ControlBits_Tb[],MATCH($G28,ControlBits_Tb[IR],0),MATCH(T$1,ControlBits_Tb[#Headers],0))</f>
        <v>0</v>
      </c>
      <c r="U28" s="22">
        <f>INDEX(ControlBits_Tb[],MATCH($G28,ControlBits_Tb[IR],0),MATCH(U$1,ControlBits_Tb[#Headers],0))</f>
        <v>0</v>
      </c>
      <c r="V28" s="22">
        <f>INDEX(ControlBits_Tb[],MATCH($G28,ControlBits_Tb[IR],0),MATCH(V$1,ControlBits_Tb[#Headers],0))</f>
        <v>0</v>
      </c>
      <c r="W28" s="22">
        <f>INDEX(ControlBits_Tb[],MATCH($G28,ControlBits_Tb[IR],0),MATCH(W$1,ControlBits_Tb[#Headers],0))</f>
        <v>1</v>
      </c>
      <c r="X28" s="22">
        <f>INDEX(ControlBits_Tb[],MATCH($G28,ControlBits_Tb[IR],0),MATCH(X$1,ControlBits_Tb[#Headers],0))</f>
        <v>0</v>
      </c>
      <c r="Y28" s="22">
        <f>INDEX(ControlBits_Tb[],MATCH($G28,ControlBits_Tb[IR],0),MATCH(Y$1,ControlBits_Tb[#Headers],0))</f>
        <v>1</v>
      </c>
      <c r="Z28" s="22">
        <f>INDEX(ControlBits_Tb[],MATCH($G28,ControlBits_Tb[IR],0),MATCH(Z$1,ControlBits_Tb[#Headers],0))</f>
        <v>0</v>
      </c>
      <c r="AA28" s="22">
        <f>INDEX(ControlBits_Tb[],MATCH($G28,ControlBits_Tb[IR],0),MATCH(AA$1,ControlBits_Tb[#Headers],0))</f>
        <v>0</v>
      </c>
      <c r="AB28" s="22">
        <f>INDEX(ControlBits_Tb[],MATCH($G28,ControlBits_Tb[IR],0),MATCH(AB$1,ControlBits_Tb[#Headers],0))</f>
        <v>1</v>
      </c>
      <c r="AC28" s="22">
        <f>INDEX(ControlBits_Tb[],MATCH($G28,ControlBits_Tb[IR],0),MATCH(AC$1,ControlBits_Tb[#Headers],0))</f>
        <v>0</v>
      </c>
      <c r="AD28" s="22" t="str">
        <f>INDEX(ControlBits_Tb[],MATCH($G28,ControlBits_Tb[IR],0),MATCH(AD$1,ControlBits_Tb[#Headers],0))</f>
        <v>000052</v>
      </c>
      <c r="AE28" s="28" t="str">
        <f>Test[[#This Row],[16진수test]]</f>
        <v>000052</v>
      </c>
      <c r="AF28" s="29">
        <f t="shared" si="0"/>
        <v>1</v>
      </c>
      <c r="AG28" s="29">
        <f xml:space="preserve"> Test[[#This Row],[state]]</f>
        <v>7</v>
      </c>
      <c r="AH28" s="29">
        <f t="shared" si="1"/>
        <v>1</v>
      </c>
      <c r="AI28" s="1" t="s">
        <v>78</v>
      </c>
      <c r="AJ28" s="1" t="s">
        <v>84</v>
      </c>
    </row>
    <row r="29" spans="1:36">
      <c r="A29" s="39"/>
      <c r="B29" s="40"/>
      <c r="C29" s="40"/>
      <c r="D29" s="40"/>
      <c r="E29" s="40"/>
      <c r="F29" s="1">
        <v>8</v>
      </c>
      <c r="G29" s="9" t="s">
        <v>168</v>
      </c>
      <c r="H29" s="22">
        <f>INDEX(ControlBits_Tb[],MATCH($G29,ControlBits_Tb[IR],0),MATCH(H$1,ControlBits_Tb[#Headers],0))</f>
        <v>0</v>
      </c>
      <c r="I29" s="22">
        <f>INDEX(ControlBits_Tb[],MATCH($G29,ControlBits_Tb[IR],0),MATCH(I$1,ControlBits_Tb[#Headers],0))</f>
        <v>0</v>
      </c>
      <c r="J29" s="22">
        <f>INDEX(ControlBits_Tb[],MATCH($G29,ControlBits_Tb[IR],0),MATCH(J$1,ControlBits_Tb[#Headers],0))</f>
        <v>0</v>
      </c>
      <c r="K29" s="22">
        <f>INDEX(ControlBits_Tb[],MATCH($G29,ControlBits_Tb[IR],0),MATCH(K$1,ControlBits_Tb[#Headers],0))</f>
        <v>0</v>
      </c>
      <c r="L29" s="22">
        <f>INDEX(ControlBits_Tb[],MATCH($G29,ControlBits_Tb[IR],0),MATCH(L$1,ControlBits_Tb[#Headers],0))</f>
        <v>0</v>
      </c>
      <c r="M29" s="22">
        <f>INDEX(ControlBits_Tb[],MATCH($G29,ControlBits_Tb[IR],0),MATCH(M$1,ControlBits_Tb[#Headers],0))</f>
        <v>0</v>
      </c>
      <c r="N29" s="22">
        <f>INDEX(ControlBits_Tb[],MATCH($G29,ControlBits_Tb[IR],0),MATCH(N$1,ControlBits_Tb[#Headers],0))</f>
        <v>0</v>
      </c>
      <c r="O29" s="22">
        <f>INDEX(ControlBits_Tb[],MATCH($G29,ControlBits_Tb[IR],0),MATCH(O$1,ControlBits_Tb[#Headers],0))</f>
        <v>0</v>
      </c>
      <c r="P29" s="22">
        <f>INDEX(ControlBits_Tb[],MATCH($G29,ControlBits_Tb[IR],0),MATCH(P$1,ControlBits_Tb[#Headers],0))</f>
        <v>1</v>
      </c>
      <c r="Q29" s="22">
        <f>INDEX(ControlBits_Tb[],MATCH($G29,ControlBits_Tb[IR],0),MATCH(Q$1,ControlBits_Tb[#Headers],0))</f>
        <v>0</v>
      </c>
      <c r="R29" s="22">
        <f>INDEX(ControlBits_Tb[],MATCH($G29,ControlBits_Tb[IR],0),MATCH(R$1,ControlBits_Tb[#Headers],0))</f>
        <v>1</v>
      </c>
      <c r="S29" s="22">
        <f>INDEX(ControlBits_Tb[],MATCH($G29,ControlBits_Tb[IR],0),MATCH(S$1,ControlBits_Tb[#Headers],0))</f>
        <v>1</v>
      </c>
      <c r="T29" s="22">
        <f>INDEX(ControlBits_Tb[],MATCH($G29,ControlBits_Tb[IR],0),MATCH(T$1,ControlBits_Tb[#Headers],0))</f>
        <v>0</v>
      </c>
      <c r="U29" s="22">
        <f>INDEX(ControlBits_Tb[],MATCH($G29,ControlBits_Tb[IR],0),MATCH(U$1,ControlBits_Tb[#Headers],0))</f>
        <v>0</v>
      </c>
      <c r="V29" s="22">
        <f>INDEX(ControlBits_Tb[],MATCH($G29,ControlBits_Tb[IR],0),MATCH(V$1,ControlBits_Tb[#Headers],0))</f>
        <v>0</v>
      </c>
      <c r="W29" s="22">
        <f>INDEX(ControlBits_Tb[],MATCH($G29,ControlBits_Tb[IR],0),MATCH(W$1,ControlBits_Tb[#Headers],0))</f>
        <v>0</v>
      </c>
      <c r="X29" s="22">
        <f>INDEX(ControlBits_Tb[],MATCH($G29,ControlBits_Tb[IR],0),MATCH(X$1,ControlBits_Tb[#Headers],0))</f>
        <v>0</v>
      </c>
      <c r="Y29" s="22">
        <f>INDEX(ControlBits_Tb[],MATCH($G29,ControlBits_Tb[IR],0),MATCH(Y$1,ControlBits_Tb[#Headers],0))</f>
        <v>0</v>
      </c>
      <c r="Z29" s="22">
        <f>INDEX(ControlBits_Tb[],MATCH($G29,ControlBits_Tb[IR],0),MATCH(Z$1,ControlBits_Tb[#Headers],0))</f>
        <v>0</v>
      </c>
      <c r="AA29" s="22">
        <f>INDEX(ControlBits_Tb[],MATCH($G29,ControlBits_Tb[IR],0),MATCH(AA$1,ControlBits_Tb[#Headers],0))</f>
        <v>0</v>
      </c>
      <c r="AB29" s="22">
        <f>INDEX(ControlBits_Tb[],MATCH($G29,ControlBits_Tb[IR],0),MATCH(AB$1,ControlBits_Tb[#Headers],0))</f>
        <v>0</v>
      </c>
      <c r="AC29" s="22">
        <f>INDEX(ControlBits_Tb[],MATCH($G29,ControlBits_Tb[IR],0),MATCH(AC$1,ControlBits_Tb[#Headers],0))</f>
        <v>0</v>
      </c>
      <c r="AD29" s="22" t="str">
        <f>INDEX(ControlBits_Tb[],MATCH($G29,ControlBits_Tb[IR],0),MATCH(AD$1,ControlBits_Tb[#Headers],0))</f>
        <v>002c00</v>
      </c>
      <c r="AE29" s="28" t="str">
        <f>Test[[#This Row],[16진수test]]</f>
        <v>002C00</v>
      </c>
      <c r="AF29" s="29">
        <f t="shared" si="0"/>
        <v>1</v>
      </c>
      <c r="AG29" s="29">
        <f xml:space="preserve"> Test[[#This Row],[state]]</f>
        <v>8</v>
      </c>
      <c r="AH29" s="29">
        <f t="shared" si="1"/>
        <v>1</v>
      </c>
      <c r="AI29" s="1" t="s">
        <v>78</v>
      </c>
      <c r="AJ29" s="1" t="s">
        <v>84</v>
      </c>
    </row>
    <row r="30" spans="1:36">
      <c r="A30" s="39">
        <v>7</v>
      </c>
      <c r="B30" s="40" t="s">
        <v>79</v>
      </c>
      <c r="C30" s="40" t="s">
        <v>123</v>
      </c>
      <c r="D30" s="40" t="s">
        <v>66</v>
      </c>
      <c r="E30" s="40">
        <v>1</v>
      </c>
      <c r="F30" s="1">
        <v>0</v>
      </c>
      <c r="G30" s="7" t="s">
        <v>26</v>
      </c>
      <c r="H30" s="22">
        <f>INDEX(ControlBits_Tb[],MATCH($G30,ControlBits_Tb[IR],0),MATCH(H$1,ControlBits_Tb[#Headers],0))</f>
        <v>0</v>
      </c>
      <c r="I30" s="22">
        <f>INDEX(ControlBits_Tb[],MATCH($G30,ControlBits_Tb[IR],0),MATCH(I$1,ControlBits_Tb[#Headers],0))</f>
        <v>1</v>
      </c>
      <c r="J30" s="22">
        <f>INDEX(ControlBits_Tb[],MATCH($G30,ControlBits_Tb[IR],0),MATCH(J$1,ControlBits_Tb[#Headers],0))</f>
        <v>1</v>
      </c>
      <c r="K30" s="22">
        <f>INDEX(ControlBits_Tb[],MATCH($G30,ControlBits_Tb[IR],0),MATCH(K$1,ControlBits_Tb[#Headers],0))</f>
        <v>1</v>
      </c>
      <c r="L30" s="22">
        <f>INDEX(ControlBits_Tb[],MATCH($G30,ControlBits_Tb[IR],0),MATCH(L$1,ControlBits_Tb[#Headers],0))</f>
        <v>0</v>
      </c>
      <c r="M30" s="22">
        <f>INDEX(ControlBits_Tb[],MATCH($G30,ControlBits_Tb[IR],0),MATCH(M$1,ControlBits_Tb[#Headers],0))</f>
        <v>1</v>
      </c>
      <c r="N30" s="22">
        <f>INDEX(ControlBits_Tb[],MATCH($G30,ControlBits_Tb[IR],0),MATCH(N$1,ControlBits_Tb[#Headers],0))</f>
        <v>0</v>
      </c>
      <c r="O30" s="22">
        <f>INDEX(ControlBits_Tb[],MATCH($G30,ControlBits_Tb[IR],0),MATCH(O$1,ControlBits_Tb[#Headers],0))</f>
        <v>1</v>
      </c>
      <c r="P30" s="22">
        <f>INDEX(ControlBits_Tb[],MATCH($G30,ControlBits_Tb[IR],0),MATCH(P$1,ControlBits_Tb[#Headers],0))</f>
        <v>0</v>
      </c>
      <c r="Q30" s="22">
        <f>INDEX(ControlBits_Tb[],MATCH($G30,ControlBits_Tb[IR],0),MATCH(Q$1,ControlBits_Tb[#Headers],0))</f>
        <v>0</v>
      </c>
      <c r="R30" s="22">
        <f>INDEX(ControlBits_Tb[],MATCH($G30,ControlBits_Tb[IR],0),MATCH(R$1,ControlBits_Tb[#Headers],0))</f>
        <v>0</v>
      </c>
      <c r="S30" s="22">
        <f>INDEX(ControlBits_Tb[],MATCH($G30,ControlBits_Tb[IR],0),MATCH(S$1,ControlBits_Tb[#Headers],0))</f>
        <v>0</v>
      </c>
      <c r="T30" s="22">
        <f>INDEX(ControlBits_Tb[],MATCH($G30,ControlBits_Tb[IR],0),MATCH(T$1,ControlBits_Tb[#Headers],0))</f>
        <v>0</v>
      </c>
      <c r="U30" s="22">
        <f>INDEX(ControlBits_Tb[],MATCH($G30,ControlBits_Tb[IR],0),MATCH(U$1,ControlBits_Tb[#Headers],0))</f>
        <v>0</v>
      </c>
      <c r="V30" s="22">
        <f>INDEX(ControlBits_Tb[],MATCH($G30,ControlBits_Tb[IR],0),MATCH(V$1,ControlBits_Tb[#Headers],0))</f>
        <v>0</v>
      </c>
      <c r="W30" s="22">
        <f>INDEX(ControlBits_Tb[],MATCH($G30,ControlBits_Tb[IR],0),MATCH(W$1,ControlBits_Tb[#Headers],0))</f>
        <v>0</v>
      </c>
      <c r="X30" s="22">
        <f>INDEX(ControlBits_Tb[],MATCH($G30,ControlBits_Tb[IR],0),MATCH(X$1,ControlBits_Tb[#Headers],0))</f>
        <v>0</v>
      </c>
      <c r="Y30" s="22">
        <f>INDEX(ControlBits_Tb[],MATCH($G30,ControlBits_Tb[IR],0),MATCH(Y$1,ControlBits_Tb[#Headers],0))</f>
        <v>0</v>
      </c>
      <c r="Z30" s="22">
        <f>INDEX(ControlBits_Tb[],MATCH($G30,ControlBits_Tb[IR],0),MATCH(Z$1,ControlBits_Tb[#Headers],0))</f>
        <v>0</v>
      </c>
      <c r="AA30" s="22">
        <f>INDEX(ControlBits_Tb[],MATCH($G30,ControlBits_Tb[IR],0),MATCH(AA$1,ControlBits_Tb[#Headers],0))</f>
        <v>0</v>
      </c>
      <c r="AB30" s="22">
        <f>INDEX(ControlBits_Tb[],MATCH($G30,ControlBits_Tb[IR],0),MATCH(AB$1,ControlBits_Tb[#Headers],0))</f>
        <v>0</v>
      </c>
      <c r="AC30" s="22">
        <f>INDEX(ControlBits_Tb[],MATCH($G30,ControlBits_Tb[IR],0),MATCH(AC$1,ControlBits_Tb[#Headers],0))</f>
        <v>0</v>
      </c>
      <c r="AD30" s="22" t="str">
        <f>INDEX(ControlBits_Tb[],MATCH($G30,ControlBits_Tb[IR],0),MATCH(AD$1,ControlBits_Tb[#Headers],0))</f>
        <v>1d4000</v>
      </c>
      <c r="AE30" s="28" t="str">
        <f>Test[[#This Row],[16진수test]]</f>
        <v>1D4000</v>
      </c>
      <c r="AF30" s="29">
        <f t="shared" si="0"/>
        <v>1</v>
      </c>
      <c r="AG30" s="29">
        <f xml:space="preserve"> Test[[#This Row],[state]]</f>
        <v>0</v>
      </c>
      <c r="AH30" s="29">
        <f t="shared" si="1"/>
        <v>1</v>
      </c>
      <c r="AI30" s="1" t="s">
        <v>81</v>
      </c>
      <c r="AJ30" s="1" t="s">
        <v>84</v>
      </c>
    </row>
    <row r="31" spans="1:36">
      <c r="A31" s="39"/>
      <c r="B31" s="40"/>
      <c r="C31" s="40"/>
      <c r="D31" s="40"/>
      <c r="E31" s="40"/>
      <c r="F31" s="1">
        <v>1</v>
      </c>
      <c r="G31" s="7" t="s">
        <v>137</v>
      </c>
      <c r="H31" s="22">
        <f>INDEX(ControlBits_Tb[],MATCH($G31,ControlBits_Tb[IR],0),MATCH(H$1,ControlBits_Tb[#Headers],0))</f>
        <v>0</v>
      </c>
      <c r="I31" s="22">
        <f>INDEX(ControlBits_Tb[],MATCH($G31,ControlBits_Tb[IR],0),MATCH(I$1,ControlBits_Tb[#Headers],0))</f>
        <v>0</v>
      </c>
      <c r="J31" s="22">
        <f>INDEX(ControlBits_Tb[],MATCH($G31,ControlBits_Tb[IR],0),MATCH(J$1,ControlBits_Tb[#Headers],0))</f>
        <v>0</v>
      </c>
      <c r="K31" s="22">
        <f>INDEX(ControlBits_Tb[],MATCH($G31,ControlBits_Tb[IR],0),MATCH(K$1,ControlBits_Tb[#Headers],0))</f>
        <v>0</v>
      </c>
      <c r="L31" s="22">
        <f>INDEX(ControlBits_Tb[],MATCH($G31,ControlBits_Tb[IR],0),MATCH(L$1,ControlBits_Tb[#Headers],0))</f>
        <v>0</v>
      </c>
      <c r="M31" s="22">
        <f>INDEX(ControlBits_Tb[],MATCH($G31,ControlBits_Tb[IR],0),MATCH(M$1,ControlBits_Tb[#Headers],0))</f>
        <v>0</v>
      </c>
      <c r="N31" s="22">
        <f>INDEX(ControlBits_Tb[],MATCH($G31,ControlBits_Tb[IR],0),MATCH(N$1,ControlBits_Tb[#Headers],0))</f>
        <v>0</v>
      </c>
      <c r="O31" s="22">
        <f>INDEX(ControlBits_Tb[],MATCH($G31,ControlBits_Tb[IR],0),MATCH(O$1,ControlBits_Tb[#Headers],0))</f>
        <v>0</v>
      </c>
      <c r="P31" s="22">
        <f>INDEX(ControlBits_Tb[],MATCH($G31,ControlBits_Tb[IR],0),MATCH(P$1,ControlBits_Tb[#Headers],0))</f>
        <v>0</v>
      </c>
      <c r="Q31" s="22">
        <f>INDEX(ControlBits_Tb[],MATCH($G31,ControlBits_Tb[IR],0),MATCH(Q$1,ControlBits_Tb[#Headers],0))</f>
        <v>0</v>
      </c>
      <c r="R31" s="22">
        <f>INDEX(ControlBits_Tb[],MATCH($G31,ControlBits_Tb[IR],0),MATCH(R$1,ControlBits_Tb[#Headers],0))</f>
        <v>0</v>
      </c>
      <c r="S31" s="22">
        <f>INDEX(ControlBits_Tb[],MATCH($G31,ControlBits_Tb[IR],0),MATCH(S$1,ControlBits_Tb[#Headers],0))</f>
        <v>0</v>
      </c>
      <c r="T31" s="22">
        <f>INDEX(ControlBits_Tb[],MATCH($G31,ControlBits_Tb[IR],0),MATCH(T$1,ControlBits_Tb[#Headers],0))</f>
        <v>0</v>
      </c>
      <c r="U31" s="22">
        <f>INDEX(ControlBits_Tb[],MATCH($G31,ControlBits_Tb[IR],0),MATCH(U$1,ControlBits_Tb[#Headers],0))</f>
        <v>0</v>
      </c>
      <c r="V31" s="22">
        <f>INDEX(ControlBits_Tb[],MATCH($G31,ControlBits_Tb[IR],0),MATCH(V$1,ControlBits_Tb[#Headers],0))</f>
        <v>0</v>
      </c>
      <c r="W31" s="22">
        <f>INDEX(ControlBits_Tb[],MATCH($G31,ControlBits_Tb[IR],0),MATCH(W$1,ControlBits_Tb[#Headers],0))</f>
        <v>0</v>
      </c>
      <c r="X31" s="22">
        <f>INDEX(ControlBits_Tb[],MATCH($G31,ControlBits_Tb[IR],0),MATCH(X$1,ControlBits_Tb[#Headers],0))</f>
        <v>1</v>
      </c>
      <c r="Y31" s="22">
        <f>INDEX(ControlBits_Tb[],MATCH($G31,ControlBits_Tb[IR],0),MATCH(Y$1,ControlBits_Tb[#Headers],0))</f>
        <v>1</v>
      </c>
      <c r="Z31" s="22">
        <f>INDEX(ControlBits_Tb[],MATCH($G31,ControlBits_Tb[IR],0),MATCH(Z$1,ControlBits_Tb[#Headers],0))</f>
        <v>0</v>
      </c>
      <c r="AA31" s="22">
        <f>INDEX(ControlBits_Tb[],MATCH($G31,ControlBits_Tb[IR],0),MATCH(AA$1,ControlBits_Tb[#Headers],0))</f>
        <v>0</v>
      </c>
      <c r="AB31" s="22">
        <f>INDEX(ControlBits_Tb[],MATCH($G31,ControlBits_Tb[IR],0),MATCH(AB$1,ControlBits_Tb[#Headers],0))</f>
        <v>0</v>
      </c>
      <c r="AC31" s="22">
        <f>INDEX(ControlBits_Tb[],MATCH($G31,ControlBits_Tb[IR],0),MATCH(AC$1,ControlBits_Tb[#Headers],0))</f>
        <v>0</v>
      </c>
      <c r="AD31" s="22" t="str">
        <f>INDEX(ControlBits_Tb[],MATCH($G31,ControlBits_Tb[IR],0),MATCH(AD$1,ControlBits_Tb[#Headers],0))</f>
        <v>000030</v>
      </c>
      <c r="AE31" s="28" t="str">
        <f>Test[[#This Row],[16진수test]]</f>
        <v>000030</v>
      </c>
      <c r="AF31" s="29">
        <f t="shared" si="0"/>
        <v>1</v>
      </c>
      <c r="AG31" s="29">
        <f xml:space="preserve"> Test[[#This Row],[state]]</f>
        <v>1</v>
      </c>
      <c r="AH31" s="29">
        <f t="shared" si="1"/>
        <v>1</v>
      </c>
      <c r="AI31" s="1" t="s">
        <v>81</v>
      </c>
      <c r="AJ31" s="1" t="s">
        <v>84</v>
      </c>
    </row>
    <row r="32" spans="1:36">
      <c r="A32" s="39"/>
      <c r="B32" s="40"/>
      <c r="C32" s="40"/>
      <c r="D32" s="40"/>
      <c r="E32" s="40"/>
      <c r="F32" s="1">
        <v>7</v>
      </c>
      <c r="G32" s="9" t="s">
        <v>79</v>
      </c>
      <c r="H32" s="22">
        <f>INDEX(ControlBits_Tb[],MATCH($G32,ControlBits_Tb[IR],0),MATCH(H$1,ControlBits_Tb[#Headers],0))</f>
        <v>0</v>
      </c>
      <c r="I32" s="22">
        <f>INDEX(ControlBits_Tb[],MATCH($G32,ControlBits_Tb[IR],0),MATCH(I$1,ControlBits_Tb[#Headers],0))</f>
        <v>0</v>
      </c>
      <c r="J32" s="22">
        <f>INDEX(ControlBits_Tb[],MATCH($G32,ControlBits_Tb[IR],0),MATCH(J$1,ControlBits_Tb[#Headers],0))</f>
        <v>0</v>
      </c>
      <c r="K32" s="22">
        <f>INDEX(ControlBits_Tb[],MATCH($G32,ControlBits_Tb[IR],0),MATCH(K$1,ControlBits_Tb[#Headers],0))</f>
        <v>0</v>
      </c>
      <c r="L32" s="22">
        <f>INDEX(ControlBits_Tb[],MATCH($G32,ControlBits_Tb[IR],0),MATCH(L$1,ControlBits_Tb[#Headers],0))</f>
        <v>0</v>
      </c>
      <c r="M32" s="22">
        <f>INDEX(ControlBits_Tb[],MATCH($G32,ControlBits_Tb[IR],0),MATCH(M$1,ControlBits_Tb[#Headers],0))</f>
        <v>0</v>
      </c>
      <c r="N32" s="22">
        <f>INDEX(ControlBits_Tb[],MATCH($G32,ControlBits_Tb[IR],0),MATCH(N$1,ControlBits_Tb[#Headers],0))</f>
        <v>0</v>
      </c>
      <c r="O32" s="22">
        <f>INDEX(ControlBits_Tb[],MATCH($G32,ControlBits_Tb[IR],0),MATCH(O$1,ControlBits_Tb[#Headers],0))</f>
        <v>0</v>
      </c>
      <c r="P32" s="22">
        <f>INDEX(ControlBits_Tb[],MATCH($G32,ControlBits_Tb[IR],0),MATCH(P$1,ControlBits_Tb[#Headers],0))</f>
        <v>0</v>
      </c>
      <c r="Q32" s="22">
        <f>INDEX(ControlBits_Tb[],MATCH($G32,ControlBits_Tb[IR],0),MATCH(Q$1,ControlBits_Tb[#Headers],0))</f>
        <v>0</v>
      </c>
      <c r="R32" s="22">
        <f>INDEX(ControlBits_Tb[],MATCH($G32,ControlBits_Tb[IR],0),MATCH(R$1,ControlBits_Tb[#Headers],0))</f>
        <v>0</v>
      </c>
      <c r="S32" s="22">
        <f>INDEX(ControlBits_Tb[],MATCH($G32,ControlBits_Tb[IR],0),MATCH(S$1,ControlBits_Tb[#Headers],0))</f>
        <v>0</v>
      </c>
      <c r="T32" s="22">
        <f>INDEX(ControlBits_Tb[],MATCH($G32,ControlBits_Tb[IR],0),MATCH(T$1,ControlBits_Tb[#Headers],0))</f>
        <v>0</v>
      </c>
      <c r="U32" s="22">
        <f>INDEX(ControlBits_Tb[],MATCH($G32,ControlBits_Tb[IR],0),MATCH(U$1,ControlBits_Tb[#Headers],0))</f>
        <v>0</v>
      </c>
      <c r="V32" s="22">
        <f>INDEX(ControlBits_Tb[],MATCH($G32,ControlBits_Tb[IR],0),MATCH(V$1,ControlBits_Tb[#Headers],0))</f>
        <v>0</v>
      </c>
      <c r="W32" s="22">
        <f>INDEX(ControlBits_Tb[],MATCH($G32,ControlBits_Tb[IR],0),MATCH(W$1,ControlBits_Tb[#Headers],0))</f>
        <v>1</v>
      </c>
      <c r="X32" s="22">
        <f>INDEX(ControlBits_Tb[],MATCH($G32,ControlBits_Tb[IR],0),MATCH(X$1,ControlBits_Tb[#Headers],0))</f>
        <v>1</v>
      </c>
      <c r="Y32" s="22">
        <f>INDEX(ControlBits_Tb[],MATCH($G32,ControlBits_Tb[IR],0),MATCH(Y$1,ControlBits_Tb[#Headers],0))</f>
        <v>0</v>
      </c>
      <c r="Z32" s="22">
        <f>INDEX(ControlBits_Tb[],MATCH($G32,ControlBits_Tb[IR],0),MATCH(Z$1,ControlBits_Tb[#Headers],0))</f>
        <v>0</v>
      </c>
      <c r="AA32" s="22">
        <f>INDEX(ControlBits_Tb[],MATCH($G32,ControlBits_Tb[IR],0),MATCH(AA$1,ControlBits_Tb[#Headers],0))</f>
        <v>1</v>
      </c>
      <c r="AB32" s="22">
        <f>INDEX(ControlBits_Tb[],MATCH($G32,ControlBits_Tb[IR],0),MATCH(AB$1,ControlBits_Tb[#Headers],0))</f>
        <v>1</v>
      </c>
      <c r="AC32" s="22">
        <f>INDEX(ControlBits_Tb[],MATCH($G32,ControlBits_Tb[IR],0),MATCH(AC$1,ControlBits_Tb[#Headers],0))</f>
        <v>0</v>
      </c>
      <c r="AD32" s="22" t="str">
        <f>INDEX(ControlBits_Tb[],MATCH($G32,ControlBits_Tb[IR],0),MATCH(AD$1,ControlBits_Tb[#Headers],0))</f>
        <v>000066</v>
      </c>
      <c r="AE32" s="28" t="str">
        <f>Test[[#This Row],[16진수test]]</f>
        <v>000066</v>
      </c>
      <c r="AF32" s="29">
        <f t="shared" si="0"/>
        <v>1</v>
      </c>
      <c r="AG32" s="29">
        <f xml:space="preserve"> Test[[#This Row],[state]]</f>
        <v>7</v>
      </c>
      <c r="AH32" s="29">
        <f t="shared" si="1"/>
        <v>1</v>
      </c>
      <c r="AI32" s="1" t="s">
        <v>81</v>
      </c>
      <c r="AJ32" s="1" t="s">
        <v>84</v>
      </c>
    </row>
    <row r="33" spans="1:36">
      <c r="A33" s="39"/>
      <c r="B33" s="40"/>
      <c r="C33" s="40"/>
      <c r="D33" s="40"/>
      <c r="E33" s="40"/>
      <c r="F33" s="1">
        <v>8</v>
      </c>
      <c r="G33" s="9" t="s">
        <v>168</v>
      </c>
      <c r="H33" s="22">
        <f>INDEX(ControlBits_Tb[],MATCH($G33,ControlBits_Tb[IR],0),MATCH(H$1,ControlBits_Tb[#Headers],0))</f>
        <v>0</v>
      </c>
      <c r="I33" s="22">
        <f>INDEX(ControlBits_Tb[],MATCH($G33,ControlBits_Tb[IR],0),MATCH(I$1,ControlBits_Tb[#Headers],0))</f>
        <v>0</v>
      </c>
      <c r="J33" s="22">
        <f>INDEX(ControlBits_Tb[],MATCH($G33,ControlBits_Tb[IR],0),MATCH(J$1,ControlBits_Tb[#Headers],0))</f>
        <v>0</v>
      </c>
      <c r="K33" s="22">
        <f>INDEX(ControlBits_Tb[],MATCH($G33,ControlBits_Tb[IR],0),MATCH(K$1,ControlBits_Tb[#Headers],0))</f>
        <v>0</v>
      </c>
      <c r="L33" s="22">
        <f>INDEX(ControlBits_Tb[],MATCH($G33,ControlBits_Tb[IR],0),MATCH(L$1,ControlBits_Tb[#Headers],0))</f>
        <v>0</v>
      </c>
      <c r="M33" s="22">
        <f>INDEX(ControlBits_Tb[],MATCH($G33,ControlBits_Tb[IR],0),MATCH(M$1,ControlBits_Tb[#Headers],0))</f>
        <v>0</v>
      </c>
      <c r="N33" s="22">
        <f>INDEX(ControlBits_Tb[],MATCH($G33,ControlBits_Tb[IR],0),MATCH(N$1,ControlBits_Tb[#Headers],0))</f>
        <v>0</v>
      </c>
      <c r="O33" s="22">
        <f>INDEX(ControlBits_Tb[],MATCH($G33,ControlBits_Tb[IR],0),MATCH(O$1,ControlBits_Tb[#Headers],0))</f>
        <v>0</v>
      </c>
      <c r="P33" s="22">
        <f>INDEX(ControlBits_Tb[],MATCH($G33,ControlBits_Tb[IR],0),MATCH(P$1,ControlBits_Tb[#Headers],0))</f>
        <v>1</v>
      </c>
      <c r="Q33" s="22">
        <f>INDEX(ControlBits_Tb[],MATCH($G33,ControlBits_Tb[IR],0),MATCH(Q$1,ControlBits_Tb[#Headers],0))</f>
        <v>0</v>
      </c>
      <c r="R33" s="22">
        <f>INDEX(ControlBits_Tb[],MATCH($G33,ControlBits_Tb[IR],0),MATCH(R$1,ControlBits_Tb[#Headers],0))</f>
        <v>1</v>
      </c>
      <c r="S33" s="22">
        <f>INDEX(ControlBits_Tb[],MATCH($G33,ControlBits_Tb[IR],0),MATCH(S$1,ControlBits_Tb[#Headers],0))</f>
        <v>1</v>
      </c>
      <c r="T33" s="22">
        <f>INDEX(ControlBits_Tb[],MATCH($G33,ControlBits_Tb[IR],0),MATCH(T$1,ControlBits_Tb[#Headers],0))</f>
        <v>0</v>
      </c>
      <c r="U33" s="22">
        <f>INDEX(ControlBits_Tb[],MATCH($G33,ControlBits_Tb[IR],0),MATCH(U$1,ControlBits_Tb[#Headers],0))</f>
        <v>0</v>
      </c>
      <c r="V33" s="22">
        <f>INDEX(ControlBits_Tb[],MATCH($G33,ControlBits_Tb[IR],0),MATCH(V$1,ControlBits_Tb[#Headers],0))</f>
        <v>0</v>
      </c>
      <c r="W33" s="22">
        <f>INDEX(ControlBits_Tb[],MATCH($G33,ControlBits_Tb[IR],0),MATCH(W$1,ControlBits_Tb[#Headers],0))</f>
        <v>0</v>
      </c>
      <c r="X33" s="22">
        <f>INDEX(ControlBits_Tb[],MATCH($G33,ControlBits_Tb[IR],0),MATCH(X$1,ControlBits_Tb[#Headers],0))</f>
        <v>0</v>
      </c>
      <c r="Y33" s="22">
        <f>INDEX(ControlBits_Tb[],MATCH($G33,ControlBits_Tb[IR],0),MATCH(Y$1,ControlBits_Tb[#Headers],0))</f>
        <v>0</v>
      </c>
      <c r="Z33" s="22">
        <f>INDEX(ControlBits_Tb[],MATCH($G33,ControlBits_Tb[IR],0),MATCH(Z$1,ControlBits_Tb[#Headers],0))</f>
        <v>0</v>
      </c>
      <c r="AA33" s="22">
        <f>INDEX(ControlBits_Tb[],MATCH($G33,ControlBits_Tb[IR],0),MATCH(AA$1,ControlBits_Tb[#Headers],0))</f>
        <v>0</v>
      </c>
      <c r="AB33" s="22">
        <f>INDEX(ControlBits_Tb[],MATCH($G33,ControlBits_Tb[IR],0),MATCH(AB$1,ControlBits_Tb[#Headers],0))</f>
        <v>0</v>
      </c>
      <c r="AC33" s="22">
        <f>INDEX(ControlBits_Tb[],MATCH($G33,ControlBits_Tb[IR],0),MATCH(AC$1,ControlBits_Tb[#Headers],0))</f>
        <v>0</v>
      </c>
      <c r="AD33" s="22" t="str">
        <f>INDEX(ControlBits_Tb[],MATCH($G33,ControlBits_Tb[IR],0),MATCH(AD$1,ControlBits_Tb[#Headers],0))</f>
        <v>002c00</v>
      </c>
      <c r="AE33" s="28" t="str">
        <f>Test[[#This Row],[16진수test]]</f>
        <v>002C00</v>
      </c>
      <c r="AF33" s="29">
        <f t="shared" si="0"/>
        <v>1</v>
      </c>
      <c r="AG33" s="29">
        <f xml:space="preserve"> Test[[#This Row],[state]]</f>
        <v>8</v>
      </c>
      <c r="AH33" s="29">
        <f t="shared" si="1"/>
        <v>1</v>
      </c>
      <c r="AI33" s="1" t="s">
        <v>81</v>
      </c>
      <c r="AJ33" s="1" t="s">
        <v>84</v>
      </c>
    </row>
    <row r="34" spans="1:36">
      <c r="A34" s="39">
        <v>8</v>
      </c>
      <c r="B34" s="40" t="s">
        <v>128</v>
      </c>
      <c r="C34" s="40" t="s">
        <v>123</v>
      </c>
      <c r="D34" s="40" t="s">
        <v>66</v>
      </c>
      <c r="E34" s="40" t="s">
        <v>74</v>
      </c>
      <c r="F34" s="1">
        <v>0</v>
      </c>
      <c r="G34" s="7" t="s">
        <v>26</v>
      </c>
      <c r="H34" s="22">
        <f>INDEX(ControlBits_Tb[],MATCH($G34,ControlBits_Tb[IR],0),MATCH(H$1,ControlBits_Tb[#Headers],0))</f>
        <v>0</v>
      </c>
      <c r="I34" s="22">
        <f>INDEX(ControlBits_Tb[],MATCH($G34,ControlBits_Tb[IR],0),MATCH(I$1,ControlBits_Tb[#Headers],0))</f>
        <v>1</v>
      </c>
      <c r="J34" s="22">
        <f>INDEX(ControlBits_Tb[],MATCH($G34,ControlBits_Tb[IR],0),MATCH(J$1,ControlBits_Tb[#Headers],0))</f>
        <v>1</v>
      </c>
      <c r="K34" s="22">
        <f>INDEX(ControlBits_Tb[],MATCH($G34,ControlBits_Tb[IR],0),MATCH(K$1,ControlBits_Tb[#Headers],0))</f>
        <v>1</v>
      </c>
      <c r="L34" s="22">
        <f>INDEX(ControlBits_Tb[],MATCH($G34,ControlBits_Tb[IR],0),MATCH(L$1,ControlBits_Tb[#Headers],0))</f>
        <v>0</v>
      </c>
      <c r="M34" s="22">
        <f>INDEX(ControlBits_Tb[],MATCH($G34,ControlBits_Tb[IR],0),MATCH(M$1,ControlBits_Tb[#Headers],0))</f>
        <v>1</v>
      </c>
      <c r="N34" s="22">
        <f>INDEX(ControlBits_Tb[],MATCH($G34,ControlBits_Tb[IR],0),MATCH(N$1,ControlBits_Tb[#Headers],0))</f>
        <v>0</v>
      </c>
      <c r="O34" s="22">
        <f>INDEX(ControlBits_Tb[],MATCH($G34,ControlBits_Tb[IR],0),MATCH(O$1,ControlBits_Tb[#Headers],0))</f>
        <v>1</v>
      </c>
      <c r="P34" s="22">
        <f>INDEX(ControlBits_Tb[],MATCH($G34,ControlBits_Tb[IR],0),MATCH(P$1,ControlBits_Tb[#Headers],0))</f>
        <v>0</v>
      </c>
      <c r="Q34" s="22">
        <f>INDEX(ControlBits_Tb[],MATCH($G34,ControlBits_Tb[IR],0),MATCH(Q$1,ControlBits_Tb[#Headers],0))</f>
        <v>0</v>
      </c>
      <c r="R34" s="22">
        <f>INDEX(ControlBits_Tb[],MATCH($G34,ControlBits_Tb[IR],0),MATCH(R$1,ControlBits_Tb[#Headers],0))</f>
        <v>0</v>
      </c>
      <c r="S34" s="22">
        <f>INDEX(ControlBits_Tb[],MATCH($G34,ControlBits_Tb[IR],0),MATCH(S$1,ControlBits_Tb[#Headers],0))</f>
        <v>0</v>
      </c>
      <c r="T34" s="22">
        <f>INDEX(ControlBits_Tb[],MATCH($G34,ControlBits_Tb[IR],0),MATCH(T$1,ControlBits_Tb[#Headers],0))</f>
        <v>0</v>
      </c>
      <c r="U34" s="22">
        <f>INDEX(ControlBits_Tb[],MATCH($G34,ControlBits_Tb[IR],0),MATCH(U$1,ControlBits_Tb[#Headers],0))</f>
        <v>0</v>
      </c>
      <c r="V34" s="22">
        <f>INDEX(ControlBits_Tb[],MATCH($G34,ControlBits_Tb[IR],0),MATCH(V$1,ControlBits_Tb[#Headers],0))</f>
        <v>0</v>
      </c>
      <c r="W34" s="22">
        <f>INDEX(ControlBits_Tb[],MATCH($G34,ControlBits_Tb[IR],0),MATCH(W$1,ControlBits_Tb[#Headers],0))</f>
        <v>0</v>
      </c>
      <c r="X34" s="22">
        <f>INDEX(ControlBits_Tb[],MATCH($G34,ControlBits_Tb[IR],0),MATCH(X$1,ControlBits_Tb[#Headers],0))</f>
        <v>0</v>
      </c>
      <c r="Y34" s="22">
        <f>INDEX(ControlBits_Tb[],MATCH($G34,ControlBits_Tb[IR],0),MATCH(Y$1,ControlBits_Tb[#Headers],0))</f>
        <v>0</v>
      </c>
      <c r="Z34" s="22">
        <f>INDEX(ControlBits_Tb[],MATCH($G34,ControlBits_Tb[IR],0),MATCH(Z$1,ControlBits_Tb[#Headers],0))</f>
        <v>0</v>
      </c>
      <c r="AA34" s="22">
        <f>INDEX(ControlBits_Tb[],MATCH($G34,ControlBits_Tb[IR],0),MATCH(AA$1,ControlBits_Tb[#Headers],0))</f>
        <v>0</v>
      </c>
      <c r="AB34" s="22">
        <f>INDEX(ControlBits_Tb[],MATCH($G34,ControlBits_Tb[IR],0),MATCH(AB$1,ControlBits_Tb[#Headers],0))</f>
        <v>0</v>
      </c>
      <c r="AC34" s="22">
        <f>INDEX(ControlBits_Tb[],MATCH($G34,ControlBits_Tb[IR],0),MATCH(AC$1,ControlBits_Tb[#Headers],0))</f>
        <v>0</v>
      </c>
      <c r="AD34" s="22" t="str">
        <f>INDEX(ControlBits_Tb[],MATCH($G34,ControlBits_Tb[IR],0),MATCH(AD$1,ControlBits_Tb[#Headers],0))</f>
        <v>1d4000</v>
      </c>
      <c r="AE34" s="28" t="str">
        <f>Test[[#This Row],[16진수test]]</f>
        <v>1D4000</v>
      </c>
      <c r="AF34" s="29">
        <f t="shared" si="0"/>
        <v>1</v>
      </c>
      <c r="AG34" s="29">
        <f xml:space="preserve"> Test[[#This Row],[state]]</f>
        <v>0</v>
      </c>
      <c r="AH34" s="29">
        <f t="shared" si="1"/>
        <v>1</v>
      </c>
      <c r="AI34" s="1" t="s">
        <v>82</v>
      </c>
    </row>
    <row r="35" spans="1:36">
      <c r="A35" s="39"/>
      <c r="B35" s="40"/>
      <c r="C35" s="40"/>
      <c r="D35" s="40"/>
      <c r="E35" s="40"/>
      <c r="F35" s="1">
        <v>1</v>
      </c>
      <c r="G35" s="7" t="s">
        <v>137</v>
      </c>
      <c r="H35" s="22">
        <f>INDEX(ControlBits_Tb[],MATCH($G35,ControlBits_Tb[IR],0),MATCH(H$1,ControlBits_Tb[#Headers],0))</f>
        <v>0</v>
      </c>
      <c r="I35" s="22">
        <f>INDEX(ControlBits_Tb[],MATCH($G35,ControlBits_Tb[IR],0),MATCH(I$1,ControlBits_Tb[#Headers],0))</f>
        <v>0</v>
      </c>
      <c r="J35" s="22">
        <f>INDEX(ControlBits_Tb[],MATCH($G35,ControlBits_Tb[IR],0),MATCH(J$1,ControlBits_Tb[#Headers],0))</f>
        <v>0</v>
      </c>
      <c r="K35" s="22">
        <f>INDEX(ControlBits_Tb[],MATCH($G35,ControlBits_Tb[IR],0),MATCH(K$1,ControlBits_Tb[#Headers],0))</f>
        <v>0</v>
      </c>
      <c r="L35" s="22">
        <f>INDEX(ControlBits_Tb[],MATCH($G35,ControlBits_Tb[IR],0),MATCH(L$1,ControlBits_Tb[#Headers],0))</f>
        <v>0</v>
      </c>
      <c r="M35" s="22">
        <f>INDEX(ControlBits_Tb[],MATCH($G35,ControlBits_Tb[IR],0),MATCH(M$1,ControlBits_Tb[#Headers],0))</f>
        <v>0</v>
      </c>
      <c r="N35" s="22">
        <f>INDEX(ControlBits_Tb[],MATCH($G35,ControlBits_Tb[IR],0),MATCH(N$1,ControlBits_Tb[#Headers],0))</f>
        <v>0</v>
      </c>
      <c r="O35" s="22">
        <f>INDEX(ControlBits_Tb[],MATCH($G35,ControlBits_Tb[IR],0),MATCH(O$1,ControlBits_Tb[#Headers],0))</f>
        <v>0</v>
      </c>
      <c r="P35" s="22">
        <f>INDEX(ControlBits_Tb[],MATCH($G35,ControlBits_Tb[IR],0),MATCH(P$1,ControlBits_Tb[#Headers],0))</f>
        <v>0</v>
      </c>
      <c r="Q35" s="22">
        <f>INDEX(ControlBits_Tb[],MATCH($G35,ControlBits_Tb[IR],0),MATCH(Q$1,ControlBits_Tb[#Headers],0))</f>
        <v>0</v>
      </c>
      <c r="R35" s="22">
        <f>INDEX(ControlBits_Tb[],MATCH($G35,ControlBits_Tb[IR],0),MATCH(R$1,ControlBits_Tb[#Headers],0))</f>
        <v>0</v>
      </c>
      <c r="S35" s="22">
        <f>INDEX(ControlBits_Tb[],MATCH($G35,ControlBits_Tb[IR],0),MATCH(S$1,ControlBits_Tb[#Headers],0))</f>
        <v>0</v>
      </c>
      <c r="T35" s="22">
        <f>INDEX(ControlBits_Tb[],MATCH($G35,ControlBits_Tb[IR],0),MATCH(T$1,ControlBits_Tb[#Headers],0))</f>
        <v>0</v>
      </c>
      <c r="U35" s="22">
        <f>INDEX(ControlBits_Tb[],MATCH($G35,ControlBits_Tb[IR],0),MATCH(U$1,ControlBits_Tb[#Headers],0))</f>
        <v>0</v>
      </c>
      <c r="V35" s="22">
        <f>INDEX(ControlBits_Tb[],MATCH($G35,ControlBits_Tb[IR],0),MATCH(V$1,ControlBits_Tb[#Headers],0))</f>
        <v>0</v>
      </c>
      <c r="W35" s="22">
        <f>INDEX(ControlBits_Tb[],MATCH($G35,ControlBits_Tb[IR],0),MATCH(W$1,ControlBits_Tb[#Headers],0))</f>
        <v>0</v>
      </c>
      <c r="X35" s="22">
        <f>INDEX(ControlBits_Tb[],MATCH($G35,ControlBits_Tb[IR],0),MATCH(X$1,ControlBits_Tb[#Headers],0))</f>
        <v>1</v>
      </c>
      <c r="Y35" s="22">
        <f>INDEX(ControlBits_Tb[],MATCH($G35,ControlBits_Tb[IR],0),MATCH(Y$1,ControlBits_Tb[#Headers],0))</f>
        <v>1</v>
      </c>
      <c r="Z35" s="22">
        <f>INDEX(ControlBits_Tb[],MATCH($G35,ControlBits_Tb[IR],0),MATCH(Z$1,ControlBits_Tb[#Headers],0))</f>
        <v>0</v>
      </c>
      <c r="AA35" s="22">
        <f>INDEX(ControlBits_Tb[],MATCH($G35,ControlBits_Tb[IR],0),MATCH(AA$1,ControlBits_Tb[#Headers],0))</f>
        <v>0</v>
      </c>
      <c r="AB35" s="22">
        <f>INDEX(ControlBits_Tb[],MATCH($G35,ControlBits_Tb[IR],0),MATCH(AB$1,ControlBits_Tb[#Headers],0))</f>
        <v>0</v>
      </c>
      <c r="AC35" s="22">
        <f>INDEX(ControlBits_Tb[],MATCH($G35,ControlBits_Tb[IR],0),MATCH(AC$1,ControlBits_Tb[#Headers],0))</f>
        <v>0</v>
      </c>
      <c r="AD35" s="22" t="str">
        <f>INDEX(ControlBits_Tb[],MATCH($G35,ControlBits_Tb[IR],0),MATCH(AD$1,ControlBits_Tb[#Headers],0))</f>
        <v>000030</v>
      </c>
      <c r="AE35" s="28" t="str">
        <f>Test[[#This Row],[16진수test]]</f>
        <v>000030</v>
      </c>
      <c r="AF35" s="29">
        <f t="shared" si="0"/>
        <v>1</v>
      </c>
      <c r="AG35" s="29">
        <f xml:space="preserve"> Test[[#This Row],[state]]</f>
        <v>1</v>
      </c>
      <c r="AH35" s="29">
        <f t="shared" si="1"/>
        <v>1</v>
      </c>
      <c r="AI35" s="1" t="s">
        <v>82</v>
      </c>
    </row>
    <row r="36" spans="1:36">
      <c r="A36" s="39"/>
      <c r="B36" s="40"/>
      <c r="C36" s="40"/>
      <c r="D36" s="40"/>
      <c r="E36" s="40"/>
      <c r="F36" s="1">
        <v>7</v>
      </c>
      <c r="G36" s="9" t="s">
        <v>128</v>
      </c>
      <c r="H36" s="22">
        <f>INDEX(ControlBits_Tb[],MATCH($G36,ControlBits_Tb[IR],0),MATCH(H$1,ControlBits_Tb[#Headers],0))</f>
        <v>0</v>
      </c>
      <c r="I36" s="22">
        <f>INDEX(ControlBits_Tb[],MATCH($G36,ControlBits_Tb[IR],0),MATCH(I$1,ControlBits_Tb[#Headers],0))</f>
        <v>0</v>
      </c>
      <c r="J36" s="22">
        <f>INDEX(ControlBits_Tb[],MATCH($G36,ControlBits_Tb[IR],0),MATCH(J$1,ControlBits_Tb[#Headers],0))</f>
        <v>0</v>
      </c>
      <c r="K36" s="22">
        <f>INDEX(ControlBits_Tb[],MATCH($G36,ControlBits_Tb[IR],0),MATCH(K$1,ControlBits_Tb[#Headers],0))</f>
        <v>0</v>
      </c>
      <c r="L36" s="22">
        <f>INDEX(ControlBits_Tb[],MATCH($G36,ControlBits_Tb[IR],0),MATCH(L$1,ControlBits_Tb[#Headers],0))</f>
        <v>0</v>
      </c>
      <c r="M36" s="22">
        <f>INDEX(ControlBits_Tb[],MATCH($G36,ControlBits_Tb[IR],0),MATCH(M$1,ControlBits_Tb[#Headers],0))</f>
        <v>0</v>
      </c>
      <c r="N36" s="22">
        <f>INDEX(ControlBits_Tb[],MATCH($G36,ControlBits_Tb[IR],0),MATCH(N$1,ControlBits_Tb[#Headers],0))</f>
        <v>0</v>
      </c>
      <c r="O36" s="22">
        <f>INDEX(ControlBits_Tb[],MATCH($G36,ControlBits_Tb[IR],0),MATCH(O$1,ControlBits_Tb[#Headers],0))</f>
        <v>0</v>
      </c>
      <c r="P36" s="22">
        <f>INDEX(ControlBits_Tb[],MATCH($G36,ControlBits_Tb[IR],0),MATCH(P$1,ControlBits_Tb[#Headers],0))</f>
        <v>0</v>
      </c>
      <c r="Q36" s="22">
        <f>INDEX(ControlBits_Tb[],MATCH($G36,ControlBits_Tb[IR],0),MATCH(Q$1,ControlBits_Tb[#Headers],0))</f>
        <v>0</v>
      </c>
      <c r="R36" s="22">
        <f>INDEX(ControlBits_Tb[],MATCH($G36,ControlBits_Tb[IR],0),MATCH(R$1,ControlBits_Tb[#Headers],0))</f>
        <v>0</v>
      </c>
      <c r="S36" s="22">
        <f>INDEX(ControlBits_Tb[],MATCH($G36,ControlBits_Tb[IR],0),MATCH(S$1,ControlBits_Tb[#Headers],0))</f>
        <v>0</v>
      </c>
      <c r="T36" s="22">
        <f>INDEX(ControlBits_Tb[],MATCH($G36,ControlBits_Tb[IR],0),MATCH(T$1,ControlBits_Tb[#Headers],0))</f>
        <v>0</v>
      </c>
      <c r="U36" s="22">
        <f>INDEX(ControlBits_Tb[],MATCH($G36,ControlBits_Tb[IR],0),MATCH(U$1,ControlBits_Tb[#Headers],0))</f>
        <v>0</v>
      </c>
      <c r="V36" s="22">
        <f>INDEX(ControlBits_Tb[],MATCH($G36,ControlBits_Tb[IR],0),MATCH(V$1,ControlBits_Tb[#Headers],0))</f>
        <v>0</v>
      </c>
      <c r="W36" s="22">
        <f>INDEX(ControlBits_Tb[],MATCH($G36,ControlBits_Tb[IR],0),MATCH(W$1,ControlBits_Tb[#Headers],0))</f>
        <v>1</v>
      </c>
      <c r="X36" s="22">
        <f>INDEX(ControlBits_Tb[],MATCH($G36,ControlBits_Tb[IR],0),MATCH(X$1,ControlBits_Tb[#Headers],0))</f>
        <v>1</v>
      </c>
      <c r="Y36" s="22">
        <f>INDEX(ControlBits_Tb[],MATCH($G36,ControlBits_Tb[IR],0),MATCH(Y$1,ControlBits_Tb[#Headers],0))</f>
        <v>0</v>
      </c>
      <c r="Z36" s="22">
        <f>INDEX(ControlBits_Tb[],MATCH($G36,ControlBits_Tb[IR],0),MATCH(Z$1,ControlBits_Tb[#Headers],0))</f>
        <v>1</v>
      </c>
      <c r="AA36" s="22">
        <f>INDEX(ControlBits_Tb[],MATCH($G36,ControlBits_Tb[IR],0),MATCH(AA$1,ControlBits_Tb[#Headers],0))</f>
        <v>0</v>
      </c>
      <c r="AB36" s="22">
        <f>INDEX(ControlBits_Tb[],MATCH($G36,ControlBits_Tb[IR],0),MATCH(AB$1,ControlBits_Tb[#Headers],0))</f>
        <v>1</v>
      </c>
      <c r="AC36" s="22">
        <f>INDEX(ControlBits_Tb[],MATCH($G36,ControlBits_Tb[IR],0),MATCH(AC$1,ControlBits_Tb[#Headers],0))</f>
        <v>0</v>
      </c>
      <c r="AD36" s="22" t="str">
        <f>INDEX(ControlBits_Tb[],MATCH($G36,ControlBits_Tb[IR],0),MATCH(AD$1,ControlBits_Tb[#Headers],0))</f>
        <v>00006a</v>
      </c>
      <c r="AE36" s="28" t="str">
        <f>Test[[#This Row],[16진수test]]</f>
        <v>00006A</v>
      </c>
      <c r="AF36" s="29">
        <f t="shared" si="0"/>
        <v>1</v>
      </c>
      <c r="AG36" s="29">
        <f xml:space="preserve"> Test[[#This Row],[state]]</f>
        <v>7</v>
      </c>
      <c r="AH36" s="29">
        <f t="shared" si="1"/>
        <v>1</v>
      </c>
      <c r="AI36" s="1" t="s">
        <v>82</v>
      </c>
    </row>
    <row r="37" spans="1:36">
      <c r="A37" s="39"/>
      <c r="B37" s="40"/>
      <c r="C37" s="40"/>
      <c r="D37" s="40"/>
      <c r="E37" s="40"/>
      <c r="F37" s="1">
        <v>8</v>
      </c>
      <c r="G37" s="9" t="s">
        <v>168</v>
      </c>
      <c r="H37" s="22">
        <f>INDEX(ControlBits_Tb[],MATCH($G37,ControlBits_Tb[IR],0),MATCH(H$1,ControlBits_Tb[#Headers],0))</f>
        <v>0</v>
      </c>
      <c r="I37" s="22">
        <f>INDEX(ControlBits_Tb[],MATCH($G37,ControlBits_Tb[IR],0),MATCH(I$1,ControlBits_Tb[#Headers],0))</f>
        <v>0</v>
      </c>
      <c r="J37" s="22">
        <f>INDEX(ControlBits_Tb[],MATCH($G37,ControlBits_Tb[IR],0),MATCH(J$1,ControlBits_Tb[#Headers],0))</f>
        <v>0</v>
      </c>
      <c r="K37" s="22">
        <f>INDEX(ControlBits_Tb[],MATCH($G37,ControlBits_Tb[IR],0),MATCH(K$1,ControlBits_Tb[#Headers],0))</f>
        <v>0</v>
      </c>
      <c r="L37" s="22">
        <f>INDEX(ControlBits_Tb[],MATCH($G37,ControlBits_Tb[IR],0),MATCH(L$1,ControlBits_Tb[#Headers],0))</f>
        <v>0</v>
      </c>
      <c r="M37" s="22">
        <f>INDEX(ControlBits_Tb[],MATCH($G37,ControlBits_Tb[IR],0),MATCH(M$1,ControlBits_Tb[#Headers],0))</f>
        <v>0</v>
      </c>
      <c r="N37" s="22">
        <f>INDEX(ControlBits_Tb[],MATCH($G37,ControlBits_Tb[IR],0),MATCH(N$1,ControlBits_Tb[#Headers],0))</f>
        <v>0</v>
      </c>
      <c r="O37" s="22">
        <f>INDEX(ControlBits_Tb[],MATCH($G37,ControlBits_Tb[IR],0),MATCH(O$1,ControlBits_Tb[#Headers],0))</f>
        <v>0</v>
      </c>
      <c r="P37" s="22">
        <f>INDEX(ControlBits_Tb[],MATCH($G37,ControlBits_Tb[IR],0),MATCH(P$1,ControlBits_Tb[#Headers],0))</f>
        <v>1</v>
      </c>
      <c r="Q37" s="22">
        <f>INDEX(ControlBits_Tb[],MATCH($G37,ControlBits_Tb[IR],0),MATCH(Q$1,ControlBits_Tb[#Headers],0))</f>
        <v>0</v>
      </c>
      <c r="R37" s="22">
        <f>INDEX(ControlBits_Tb[],MATCH($G37,ControlBits_Tb[IR],0),MATCH(R$1,ControlBits_Tb[#Headers],0))</f>
        <v>1</v>
      </c>
      <c r="S37" s="22">
        <f>INDEX(ControlBits_Tb[],MATCH($G37,ControlBits_Tb[IR],0),MATCH(S$1,ControlBits_Tb[#Headers],0))</f>
        <v>1</v>
      </c>
      <c r="T37" s="22">
        <f>INDEX(ControlBits_Tb[],MATCH($G37,ControlBits_Tb[IR],0),MATCH(T$1,ControlBits_Tb[#Headers],0))</f>
        <v>0</v>
      </c>
      <c r="U37" s="22">
        <f>INDEX(ControlBits_Tb[],MATCH($G37,ControlBits_Tb[IR],0),MATCH(U$1,ControlBits_Tb[#Headers],0))</f>
        <v>0</v>
      </c>
      <c r="V37" s="22">
        <f>INDEX(ControlBits_Tb[],MATCH($G37,ControlBits_Tb[IR],0),MATCH(V$1,ControlBits_Tb[#Headers],0))</f>
        <v>0</v>
      </c>
      <c r="W37" s="22">
        <f>INDEX(ControlBits_Tb[],MATCH($G37,ControlBits_Tb[IR],0),MATCH(W$1,ControlBits_Tb[#Headers],0))</f>
        <v>0</v>
      </c>
      <c r="X37" s="22">
        <f>INDEX(ControlBits_Tb[],MATCH($G37,ControlBits_Tb[IR],0),MATCH(X$1,ControlBits_Tb[#Headers],0))</f>
        <v>0</v>
      </c>
      <c r="Y37" s="22">
        <f>INDEX(ControlBits_Tb[],MATCH($G37,ControlBits_Tb[IR],0),MATCH(Y$1,ControlBits_Tb[#Headers],0))</f>
        <v>0</v>
      </c>
      <c r="Z37" s="22">
        <f>INDEX(ControlBits_Tb[],MATCH($G37,ControlBits_Tb[IR],0),MATCH(Z$1,ControlBits_Tb[#Headers],0))</f>
        <v>0</v>
      </c>
      <c r="AA37" s="22">
        <f>INDEX(ControlBits_Tb[],MATCH($G37,ControlBits_Tb[IR],0),MATCH(AA$1,ControlBits_Tb[#Headers],0))</f>
        <v>0</v>
      </c>
      <c r="AB37" s="22">
        <f>INDEX(ControlBits_Tb[],MATCH($G37,ControlBits_Tb[IR],0),MATCH(AB$1,ControlBits_Tb[#Headers],0))</f>
        <v>0</v>
      </c>
      <c r="AC37" s="22">
        <f>INDEX(ControlBits_Tb[],MATCH($G37,ControlBits_Tb[IR],0),MATCH(AC$1,ControlBits_Tb[#Headers],0))</f>
        <v>0</v>
      </c>
      <c r="AD37" s="22" t="str">
        <f>INDEX(ControlBits_Tb[],MATCH($G37,ControlBits_Tb[IR],0),MATCH(AD$1,ControlBits_Tb[#Headers],0))</f>
        <v>002c00</v>
      </c>
      <c r="AE37" s="28" t="str">
        <f>Test[[#This Row],[16진수test]]</f>
        <v>002C00</v>
      </c>
      <c r="AF37" s="29">
        <f t="shared" si="0"/>
        <v>1</v>
      </c>
      <c r="AG37" s="29">
        <f xml:space="preserve"> Test[[#This Row],[state]]</f>
        <v>8</v>
      </c>
      <c r="AH37" s="29">
        <f t="shared" si="1"/>
        <v>1</v>
      </c>
      <c r="AI37" s="1" t="s">
        <v>82</v>
      </c>
    </row>
    <row r="38" spans="1:36">
      <c r="A38" s="39">
        <v>9</v>
      </c>
      <c r="B38" s="40" t="s">
        <v>80</v>
      </c>
      <c r="C38" s="40" t="s">
        <v>123</v>
      </c>
      <c r="D38" s="40" t="s">
        <v>66</v>
      </c>
      <c r="E38" s="40">
        <v>11</v>
      </c>
      <c r="F38" s="1">
        <v>0</v>
      </c>
      <c r="G38" s="7" t="s">
        <v>26</v>
      </c>
      <c r="H38" s="22">
        <f>INDEX(ControlBits_Tb[],MATCH($G38,ControlBits_Tb[IR],0),MATCH(H$1,ControlBits_Tb[#Headers],0))</f>
        <v>0</v>
      </c>
      <c r="I38" s="22">
        <f>INDEX(ControlBits_Tb[],MATCH($G38,ControlBits_Tb[IR],0),MATCH(I$1,ControlBits_Tb[#Headers],0))</f>
        <v>1</v>
      </c>
      <c r="J38" s="22">
        <f>INDEX(ControlBits_Tb[],MATCH($G38,ControlBits_Tb[IR],0),MATCH(J$1,ControlBits_Tb[#Headers],0))</f>
        <v>1</v>
      </c>
      <c r="K38" s="22">
        <f>INDEX(ControlBits_Tb[],MATCH($G38,ControlBits_Tb[IR],0),MATCH(K$1,ControlBits_Tb[#Headers],0))</f>
        <v>1</v>
      </c>
      <c r="L38" s="22">
        <f>INDEX(ControlBits_Tb[],MATCH($G38,ControlBits_Tb[IR],0),MATCH(L$1,ControlBits_Tb[#Headers],0))</f>
        <v>0</v>
      </c>
      <c r="M38" s="22">
        <f>INDEX(ControlBits_Tb[],MATCH($G38,ControlBits_Tb[IR],0),MATCH(M$1,ControlBits_Tb[#Headers],0))</f>
        <v>1</v>
      </c>
      <c r="N38" s="22">
        <f>INDEX(ControlBits_Tb[],MATCH($G38,ControlBits_Tb[IR],0),MATCH(N$1,ControlBits_Tb[#Headers],0))</f>
        <v>0</v>
      </c>
      <c r="O38" s="22">
        <f>INDEX(ControlBits_Tb[],MATCH($G38,ControlBits_Tb[IR],0),MATCH(O$1,ControlBits_Tb[#Headers],0))</f>
        <v>1</v>
      </c>
      <c r="P38" s="22">
        <f>INDEX(ControlBits_Tb[],MATCH($G38,ControlBits_Tb[IR],0),MATCH(P$1,ControlBits_Tb[#Headers],0))</f>
        <v>0</v>
      </c>
      <c r="Q38" s="22">
        <f>INDEX(ControlBits_Tb[],MATCH($G38,ControlBits_Tb[IR],0),MATCH(Q$1,ControlBits_Tb[#Headers],0))</f>
        <v>0</v>
      </c>
      <c r="R38" s="22">
        <f>INDEX(ControlBits_Tb[],MATCH($G38,ControlBits_Tb[IR],0),MATCH(R$1,ControlBits_Tb[#Headers],0))</f>
        <v>0</v>
      </c>
      <c r="S38" s="22">
        <f>INDEX(ControlBits_Tb[],MATCH($G38,ControlBits_Tb[IR],0),MATCH(S$1,ControlBits_Tb[#Headers],0))</f>
        <v>0</v>
      </c>
      <c r="T38" s="22">
        <f>INDEX(ControlBits_Tb[],MATCH($G38,ControlBits_Tb[IR],0),MATCH(T$1,ControlBits_Tb[#Headers],0))</f>
        <v>0</v>
      </c>
      <c r="U38" s="22">
        <f>INDEX(ControlBits_Tb[],MATCH($G38,ControlBits_Tb[IR],0),MATCH(U$1,ControlBits_Tb[#Headers],0))</f>
        <v>0</v>
      </c>
      <c r="V38" s="22">
        <f>INDEX(ControlBits_Tb[],MATCH($G38,ControlBits_Tb[IR],0),MATCH(V$1,ControlBits_Tb[#Headers],0))</f>
        <v>0</v>
      </c>
      <c r="W38" s="22">
        <f>INDEX(ControlBits_Tb[],MATCH($G38,ControlBits_Tb[IR],0),MATCH(W$1,ControlBits_Tb[#Headers],0))</f>
        <v>0</v>
      </c>
      <c r="X38" s="22">
        <f>INDEX(ControlBits_Tb[],MATCH($G38,ControlBits_Tb[IR],0),MATCH(X$1,ControlBits_Tb[#Headers],0))</f>
        <v>0</v>
      </c>
      <c r="Y38" s="22">
        <f>INDEX(ControlBits_Tb[],MATCH($G38,ControlBits_Tb[IR],0),MATCH(Y$1,ControlBits_Tb[#Headers],0))</f>
        <v>0</v>
      </c>
      <c r="Z38" s="22">
        <f>INDEX(ControlBits_Tb[],MATCH($G38,ControlBits_Tb[IR],0),MATCH(Z$1,ControlBits_Tb[#Headers],0))</f>
        <v>0</v>
      </c>
      <c r="AA38" s="22">
        <f>INDEX(ControlBits_Tb[],MATCH($G38,ControlBits_Tb[IR],0),MATCH(AA$1,ControlBits_Tb[#Headers],0))</f>
        <v>0</v>
      </c>
      <c r="AB38" s="22">
        <f>INDEX(ControlBits_Tb[],MATCH($G38,ControlBits_Tb[IR],0),MATCH(AB$1,ControlBits_Tb[#Headers],0))</f>
        <v>0</v>
      </c>
      <c r="AC38" s="22">
        <f>INDEX(ControlBits_Tb[],MATCH($G38,ControlBits_Tb[IR],0),MATCH(AC$1,ControlBits_Tb[#Headers],0))</f>
        <v>0</v>
      </c>
      <c r="AD38" s="22" t="str">
        <f>INDEX(ControlBits_Tb[],MATCH($G38,ControlBits_Tb[IR],0),MATCH(AD$1,ControlBits_Tb[#Headers],0))</f>
        <v>1d4000</v>
      </c>
      <c r="AE38" s="28" t="str">
        <f>Test[[#This Row],[16진수test]]</f>
        <v>1D4000</v>
      </c>
      <c r="AF38" s="29">
        <f t="shared" si="0"/>
        <v>1</v>
      </c>
      <c r="AG38" s="29">
        <f xml:space="preserve"> Test[[#This Row],[state]]</f>
        <v>0</v>
      </c>
      <c r="AH38" s="29">
        <f t="shared" si="1"/>
        <v>1</v>
      </c>
      <c r="AI38" s="1" t="s">
        <v>83</v>
      </c>
    </row>
    <row r="39" spans="1:36">
      <c r="A39" s="39"/>
      <c r="B39" s="40"/>
      <c r="C39" s="40"/>
      <c r="D39" s="40"/>
      <c r="E39" s="40"/>
      <c r="F39" s="1">
        <v>1</v>
      </c>
      <c r="G39" s="7" t="s">
        <v>137</v>
      </c>
      <c r="H39" s="22">
        <f>INDEX(ControlBits_Tb[],MATCH($G39,ControlBits_Tb[IR],0),MATCH(H$1,ControlBits_Tb[#Headers],0))</f>
        <v>0</v>
      </c>
      <c r="I39" s="22">
        <f>INDEX(ControlBits_Tb[],MATCH($G39,ControlBits_Tb[IR],0),MATCH(I$1,ControlBits_Tb[#Headers],0))</f>
        <v>0</v>
      </c>
      <c r="J39" s="22">
        <f>INDEX(ControlBits_Tb[],MATCH($G39,ControlBits_Tb[IR],0),MATCH(J$1,ControlBits_Tb[#Headers],0))</f>
        <v>0</v>
      </c>
      <c r="K39" s="22">
        <f>INDEX(ControlBits_Tb[],MATCH($G39,ControlBits_Tb[IR],0),MATCH(K$1,ControlBits_Tb[#Headers],0))</f>
        <v>0</v>
      </c>
      <c r="L39" s="22">
        <f>INDEX(ControlBits_Tb[],MATCH($G39,ControlBits_Tb[IR],0),MATCH(L$1,ControlBits_Tb[#Headers],0))</f>
        <v>0</v>
      </c>
      <c r="M39" s="22">
        <f>INDEX(ControlBits_Tb[],MATCH($G39,ControlBits_Tb[IR],0),MATCH(M$1,ControlBits_Tb[#Headers],0))</f>
        <v>0</v>
      </c>
      <c r="N39" s="22">
        <f>INDEX(ControlBits_Tb[],MATCH($G39,ControlBits_Tb[IR],0),MATCH(N$1,ControlBits_Tb[#Headers],0))</f>
        <v>0</v>
      </c>
      <c r="O39" s="22">
        <f>INDEX(ControlBits_Tb[],MATCH($G39,ControlBits_Tb[IR],0),MATCH(O$1,ControlBits_Tb[#Headers],0))</f>
        <v>0</v>
      </c>
      <c r="P39" s="22">
        <f>INDEX(ControlBits_Tb[],MATCH($G39,ControlBits_Tb[IR],0),MATCH(P$1,ControlBits_Tb[#Headers],0))</f>
        <v>0</v>
      </c>
      <c r="Q39" s="22">
        <f>INDEX(ControlBits_Tb[],MATCH($G39,ControlBits_Tb[IR],0),MATCH(Q$1,ControlBits_Tb[#Headers],0))</f>
        <v>0</v>
      </c>
      <c r="R39" s="22">
        <f>INDEX(ControlBits_Tb[],MATCH($G39,ControlBits_Tb[IR],0),MATCH(R$1,ControlBits_Tb[#Headers],0))</f>
        <v>0</v>
      </c>
      <c r="S39" s="22">
        <f>INDEX(ControlBits_Tb[],MATCH($G39,ControlBits_Tb[IR],0),MATCH(S$1,ControlBits_Tb[#Headers],0))</f>
        <v>0</v>
      </c>
      <c r="T39" s="22">
        <f>INDEX(ControlBits_Tb[],MATCH($G39,ControlBits_Tb[IR],0),MATCH(T$1,ControlBits_Tb[#Headers],0))</f>
        <v>0</v>
      </c>
      <c r="U39" s="22">
        <f>INDEX(ControlBits_Tb[],MATCH($G39,ControlBits_Tb[IR],0),MATCH(U$1,ControlBits_Tb[#Headers],0))</f>
        <v>0</v>
      </c>
      <c r="V39" s="22">
        <f>INDEX(ControlBits_Tb[],MATCH($G39,ControlBits_Tb[IR],0),MATCH(V$1,ControlBits_Tb[#Headers],0))</f>
        <v>0</v>
      </c>
      <c r="W39" s="22">
        <f>INDEX(ControlBits_Tb[],MATCH($G39,ControlBits_Tb[IR],0),MATCH(W$1,ControlBits_Tb[#Headers],0))</f>
        <v>0</v>
      </c>
      <c r="X39" s="22">
        <f>INDEX(ControlBits_Tb[],MATCH($G39,ControlBits_Tb[IR],0),MATCH(X$1,ControlBits_Tb[#Headers],0))</f>
        <v>1</v>
      </c>
      <c r="Y39" s="22">
        <f>INDEX(ControlBits_Tb[],MATCH($G39,ControlBits_Tb[IR],0),MATCH(Y$1,ControlBits_Tb[#Headers],0))</f>
        <v>1</v>
      </c>
      <c r="Z39" s="22">
        <f>INDEX(ControlBits_Tb[],MATCH($G39,ControlBits_Tb[IR],0),MATCH(Z$1,ControlBits_Tb[#Headers],0))</f>
        <v>0</v>
      </c>
      <c r="AA39" s="22">
        <f>INDEX(ControlBits_Tb[],MATCH($G39,ControlBits_Tb[IR],0),MATCH(AA$1,ControlBits_Tb[#Headers],0))</f>
        <v>0</v>
      </c>
      <c r="AB39" s="22">
        <f>INDEX(ControlBits_Tb[],MATCH($G39,ControlBits_Tb[IR],0),MATCH(AB$1,ControlBits_Tb[#Headers],0))</f>
        <v>0</v>
      </c>
      <c r="AC39" s="22">
        <f>INDEX(ControlBits_Tb[],MATCH($G39,ControlBits_Tb[IR],0),MATCH(AC$1,ControlBits_Tb[#Headers],0))</f>
        <v>0</v>
      </c>
      <c r="AD39" s="22" t="str">
        <f>INDEX(ControlBits_Tb[],MATCH($G39,ControlBits_Tb[IR],0),MATCH(AD$1,ControlBits_Tb[#Headers],0))</f>
        <v>000030</v>
      </c>
      <c r="AE39" s="28" t="str">
        <f>Test[[#This Row],[16진수test]]</f>
        <v>000030</v>
      </c>
      <c r="AF39" s="29">
        <f t="shared" si="0"/>
        <v>1</v>
      </c>
      <c r="AG39" s="29">
        <f xml:space="preserve"> Test[[#This Row],[state]]</f>
        <v>1</v>
      </c>
      <c r="AH39" s="29">
        <f t="shared" si="1"/>
        <v>1</v>
      </c>
      <c r="AI39" s="1" t="s">
        <v>83</v>
      </c>
    </row>
    <row r="40" spans="1:36">
      <c r="A40" s="39"/>
      <c r="B40" s="40"/>
      <c r="C40" s="40"/>
      <c r="D40" s="40"/>
      <c r="E40" s="40"/>
      <c r="F40" s="1">
        <v>7</v>
      </c>
      <c r="G40" s="9" t="s">
        <v>80</v>
      </c>
      <c r="H40" s="22">
        <f>INDEX(ControlBits_Tb[],MATCH($G40,ControlBits_Tb[IR],0),MATCH(H$1,ControlBits_Tb[#Headers],0))</f>
        <v>0</v>
      </c>
      <c r="I40" s="22">
        <f>INDEX(ControlBits_Tb[],MATCH($G40,ControlBits_Tb[IR],0),MATCH(I$1,ControlBits_Tb[#Headers],0))</f>
        <v>0</v>
      </c>
      <c r="J40" s="22">
        <f>INDEX(ControlBits_Tb[],MATCH($G40,ControlBits_Tb[IR],0),MATCH(J$1,ControlBits_Tb[#Headers],0))</f>
        <v>0</v>
      </c>
      <c r="K40" s="22">
        <f>INDEX(ControlBits_Tb[],MATCH($G40,ControlBits_Tb[IR],0),MATCH(K$1,ControlBits_Tb[#Headers],0))</f>
        <v>0</v>
      </c>
      <c r="L40" s="22">
        <f>INDEX(ControlBits_Tb[],MATCH($G40,ControlBits_Tb[IR],0),MATCH(L$1,ControlBits_Tb[#Headers],0))</f>
        <v>0</v>
      </c>
      <c r="M40" s="22">
        <f>INDEX(ControlBits_Tb[],MATCH($G40,ControlBits_Tb[IR],0),MATCH(M$1,ControlBits_Tb[#Headers],0))</f>
        <v>0</v>
      </c>
      <c r="N40" s="22">
        <f>INDEX(ControlBits_Tb[],MATCH($G40,ControlBits_Tb[IR],0),MATCH(N$1,ControlBits_Tb[#Headers],0))</f>
        <v>0</v>
      </c>
      <c r="O40" s="22">
        <f>INDEX(ControlBits_Tb[],MATCH($G40,ControlBits_Tb[IR],0),MATCH(O$1,ControlBits_Tb[#Headers],0))</f>
        <v>0</v>
      </c>
      <c r="P40" s="22">
        <f>INDEX(ControlBits_Tb[],MATCH($G40,ControlBits_Tb[IR],0),MATCH(P$1,ControlBits_Tb[#Headers],0))</f>
        <v>0</v>
      </c>
      <c r="Q40" s="22">
        <f>INDEX(ControlBits_Tb[],MATCH($G40,ControlBits_Tb[IR],0),MATCH(Q$1,ControlBits_Tb[#Headers],0))</f>
        <v>0</v>
      </c>
      <c r="R40" s="22">
        <f>INDEX(ControlBits_Tb[],MATCH($G40,ControlBits_Tb[IR],0),MATCH(R$1,ControlBits_Tb[#Headers],0))</f>
        <v>0</v>
      </c>
      <c r="S40" s="22">
        <f>INDEX(ControlBits_Tb[],MATCH($G40,ControlBits_Tb[IR],0),MATCH(S$1,ControlBits_Tb[#Headers],0))</f>
        <v>0</v>
      </c>
      <c r="T40" s="22">
        <f>INDEX(ControlBits_Tb[],MATCH($G40,ControlBits_Tb[IR],0),MATCH(T$1,ControlBits_Tb[#Headers],0))</f>
        <v>0</v>
      </c>
      <c r="U40" s="22">
        <f>INDEX(ControlBits_Tb[],MATCH($G40,ControlBits_Tb[IR],0),MATCH(U$1,ControlBits_Tb[#Headers],0))</f>
        <v>0</v>
      </c>
      <c r="V40" s="22">
        <f>INDEX(ControlBits_Tb[],MATCH($G40,ControlBits_Tb[IR],0),MATCH(V$1,ControlBits_Tb[#Headers],0))</f>
        <v>0</v>
      </c>
      <c r="W40" s="22">
        <f>INDEX(ControlBits_Tb[],MATCH($G40,ControlBits_Tb[IR],0),MATCH(W$1,ControlBits_Tb[#Headers],0))</f>
        <v>1</v>
      </c>
      <c r="X40" s="22">
        <f>INDEX(ControlBits_Tb[],MATCH($G40,ControlBits_Tb[IR],0),MATCH(X$1,ControlBits_Tb[#Headers],0))</f>
        <v>1</v>
      </c>
      <c r="Y40" s="22">
        <f>INDEX(ControlBits_Tb[],MATCH($G40,ControlBits_Tb[IR],0),MATCH(Y$1,ControlBits_Tb[#Headers],0))</f>
        <v>0</v>
      </c>
      <c r="Z40" s="22">
        <f>INDEX(ControlBits_Tb[],MATCH($G40,ControlBits_Tb[IR],0),MATCH(Z$1,ControlBits_Tb[#Headers],0))</f>
        <v>1</v>
      </c>
      <c r="AA40" s="22">
        <f>INDEX(ControlBits_Tb[],MATCH($G40,ControlBits_Tb[IR],0),MATCH(AA$1,ControlBits_Tb[#Headers],0))</f>
        <v>1</v>
      </c>
      <c r="AB40" s="22">
        <f>INDEX(ControlBits_Tb[],MATCH($G40,ControlBits_Tb[IR],0),MATCH(AB$1,ControlBits_Tb[#Headers],0))</f>
        <v>1</v>
      </c>
      <c r="AC40" s="22">
        <f>INDEX(ControlBits_Tb[],MATCH($G40,ControlBits_Tb[IR],0),MATCH(AC$1,ControlBits_Tb[#Headers],0))</f>
        <v>0</v>
      </c>
      <c r="AD40" s="22" t="str">
        <f>INDEX(ControlBits_Tb[],MATCH($G40,ControlBits_Tb[IR],0),MATCH(AD$1,ControlBits_Tb[#Headers],0))</f>
        <v>00006e</v>
      </c>
      <c r="AE40" s="28" t="str">
        <f>Test[[#This Row],[16진수test]]</f>
        <v>00006E</v>
      </c>
      <c r="AF40" s="29">
        <f t="shared" si="0"/>
        <v>1</v>
      </c>
      <c r="AG40" s="29">
        <f xml:space="preserve"> Test[[#This Row],[state]]</f>
        <v>7</v>
      </c>
      <c r="AH40" s="29">
        <f t="shared" si="1"/>
        <v>1</v>
      </c>
      <c r="AI40" s="1" t="s">
        <v>83</v>
      </c>
    </row>
    <row r="41" spans="1:36">
      <c r="A41" s="39"/>
      <c r="B41" s="40"/>
      <c r="C41" s="40"/>
      <c r="D41" s="40"/>
      <c r="E41" s="40"/>
      <c r="F41" s="1">
        <v>8</v>
      </c>
      <c r="G41" s="9" t="s">
        <v>168</v>
      </c>
      <c r="H41" s="22">
        <f>INDEX(ControlBits_Tb[],MATCH($G41,ControlBits_Tb[IR],0),MATCH(H$1,ControlBits_Tb[#Headers],0))</f>
        <v>0</v>
      </c>
      <c r="I41" s="22">
        <f>INDEX(ControlBits_Tb[],MATCH($G41,ControlBits_Tb[IR],0),MATCH(I$1,ControlBits_Tb[#Headers],0))</f>
        <v>0</v>
      </c>
      <c r="J41" s="22">
        <f>INDEX(ControlBits_Tb[],MATCH($G41,ControlBits_Tb[IR],0),MATCH(J$1,ControlBits_Tb[#Headers],0))</f>
        <v>0</v>
      </c>
      <c r="K41" s="22">
        <f>INDEX(ControlBits_Tb[],MATCH($G41,ControlBits_Tb[IR],0),MATCH(K$1,ControlBits_Tb[#Headers],0))</f>
        <v>0</v>
      </c>
      <c r="L41" s="22">
        <f>INDEX(ControlBits_Tb[],MATCH($G41,ControlBits_Tb[IR],0),MATCH(L$1,ControlBits_Tb[#Headers],0))</f>
        <v>0</v>
      </c>
      <c r="M41" s="22">
        <f>INDEX(ControlBits_Tb[],MATCH($G41,ControlBits_Tb[IR],0),MATCH(M$1,ControlBits_Tb[#Headers],0))</f>
        <v>0</v>
      </c>
      <c r="N41" s="22">
        <f>INDEX(ControlBits_Tb[],MATCH($G41,ControlBits_Tb[IR],0),MATCH(N$1,ControlBits_Tb[#Headers],0))</f>
        <v>0</v>
      </c>
      <c r="O41" s="22">
        <f>INDEX(ControlBits_Tb[],MATCH($G41,ControlBits_Tb[IR],0),MATCH(O$1,ControlBits_Tb[#Headers],0))</f>
        <v>0</v>
      </c>
      <c r="P41" s="22">
        <f>INDEX(ControlBits_Tb[],MATCH($G41,ControlBits_Tb[IR],0),MATCH(P$1,ControlBits_Tb[#Headers],0))</f>
        <v>1</v>
      </c>
      <c r="Q41" s="22">
        <f>INDEX(ControlBits_Tb[],MATCH($G41,ControlBits_Tb[IR],0),MATCH(Q$1,ControlBits_Tb[#Headers],0))</f>
        <v>0</v>
      </c>
      <c r="R41" s="22">
        <f>INDEX(ControlBits_Tb[],MATCH($G41,ControlBits_Tb[IR],0),MATCH(R$1,ControlBits_Tb[#Headers],0))</f>
        <v>1</v>
      </c>
      <c r="S41" s="22">
        <f>INDEX(ControlBits_Tb[],MATCH($G41,ControlBits_Tb[IR],0),MATCH(S$1,ControlBits_Tb[#Headers],0))</f>
        <v>1</v>
      </c>
      <c r="T41" s="22">
        <f>INDEX(ControlBits_Tb[],MATCH($G41,ControlBits_Tb[IR],0),MATCH(T$1,ControlBits_Tb[#Headers],0))</f>
        <v>0</v>
      </c>
      <c r="U41" s="22">
        <f>INDEX(ControlBits_Tb[],MATCH($G41,ControlBits_Tb[IR],0),MATCH(U$1,ControlBits_Tb[#Headers],0))</f>
        <v>0</v>
      </c>
      <c r="V41" s="22">
        <f>INDEX(ControlBits_Tb[],MATCH($G41,ControlBits_Tb[IR],0),MATCH(V$1,ControlBits_Tb[#Headers],0))</f>
        <v>0</v>
      </c>
      <c r="W41" s="22">
        <f>INDEX(ControlBits_Tb[],MATCH($G41,ControlBits_Tb[IR],0),MATCH(W$1,ControlBits_Tb[#Headers],0))</f>
        <v>0</v>
      </c>
      <c r="X41" s="22">
        <f>INDEX(ControlBits_Tb[],MATCH($G41,ControlBits_Tb[IR],0),MATCH(X$1,ControlBits_Tb[#Headers],0))</f>
        <v>0</v>
      </c>
      <c r="Y41" s="22">
        <f>INDEX(ControlBits_Tb[],MATCH($G41,ControlBits_Tb[IR],0),MATCH(Y$1,ControlBits_Tb[#Headers],0))</f>
        <v>0</v>
      </c>
      <c r="Z41" s="22">
        <f>INDEX(ControlBits_Tb[],MATCH($G41,ControlBits_Tb[IR],0),MATCH(Z$1,ControlBits_Tb[#Headers],0))</f>
        <v>0</v>
      </c>
      <c r="AA41" s="22">
        <f>INDEX(ControlBits_Tb[],MATCH($G41,ControlBits_Tb[IR],0),MATCH(AA$1,ControlBits_Tb[#Headers],0))</f>
        <v>0</v>
      </c>
      <c r="AB41" s="22">
        <f>INDEX(ControlBits_Tb[],MATCH($G41,ControlBits_Tb[IR],0),MATCH(AB$1,ControlBits_Tb[#Headers],0))</f>
        <v>0</v>
      </c>
      <c r="AC41" s="22">
        <f>INDEX(ControlBits_Tb[],MATCH($G41,ControlBits_Tb[IR],0),MATCH(AC$1,ControlBits_Tb[#Headers],0))</f>
        <v>0</v>
      </c>
      <c r="AD41" s="22" t="str">
        <f>INDEX(ControlBits_Tb[],MATCH($G41,ControlBits_Tb[IR],0),MATCH(AD$1,ControlBits_Tb[#Headers],0))</f>
        <v>002c00</v>
      </c>
      <c r="AE41" s="28" t="str">
        <f>Test[[#This Row],[16진수test]]</f>
        <v>002C00</v>
      </c>
      <c r="AF41" s="29">
        <f t="shared" si="0"/>
        <v>1</v>
      </c>
      <c r="AG41" s="29">
        <f xml:space="preserve"> Test[[#This Row],[state]]</f>
        <v>8</v>
      </c>
      <c r="AH41" s="29">
        <f t="shared" si="1"/>
        <v>1</v>
      </c>
      <c r="AI41" s="1" t="s">
        <v>83</v>
      </c>
    </row>
    <row r="42" spans="1:36">
      <c r="A42" s="39">
        <v>10</v>
      </c>
      <c r="B42" s="40" t="s">
        <v>85</v>
      </c>
      <c r="C42" s="40" t="s">
        <v>123</v>
      </c>
      <c r="D42" s="40" t="s">
        <v>66</v>
      </c>
      <c r="E42" s="40" t="s">
        <v>67</v>
      </c>
      <c r="F42" s="1">
        <v>0</v>
      </c>
      <c r="G42" s="7" t="s">
        <v>26</v>
      </c>
      <c r="H42" s="22">
        <f>INDEX(ControlBits_Tb[],MATCH($G42,ControlBits_Tb[IR],0),MATCH(H$1,ControlBits_Tb[#Headers],0))</f>
        <v>0</v>
      </c>
      <c r="I42" s="22">
        <f>INDEX(ControlBits_Tb[],MATCH($G42,ControlBits_Tb[IR],0),MATCH(I$1,ControlBits_Tb[#Headers],0))</f>
        <v>1</v>
      </c>
      <c r="J42" s="22">
        <f>INDEX(ControlBits_Tb[],MATCH($G42,ControlBits_Tb[IR],0),MATCH(J$1,ControlBits_Tb[#Headers],0))</f>
        <v>1</v>
      </c>
      <c r="K42" s="22">
        <f>INDEX(ControlBits_Tb[],MATCH($G42,ControlBits_Tb[IR],0),MATCH(K$1,ControlBits_Tb[#Headers],0))</f>
        <v>1</v>
      </c>
      <c r="L42" s="22">
        <f>INDEX(ControlBits_Tb[],MATCH($G42,ControlBits_Tb[IR],0),MATCH(L$1,ControlBits_Tb[#Headers],0))</f>
        <v>0</v>
      </c>
      <c r="M42" s="22">
        <f>INDEX(ControlBits_Tb[],MATCH($G42,ControlBits_Tb[IR],0),MATCH(M$1,ControlBits_Tb[#Headers],0))</f>
        <v>1</v>
      </c>
      <c r="N42" s="22">
        <f>INDEX(ControlBits_Tb[],MATCH($G42,ControlBits_Tb[IR],0),MATCH(N$1,ControlBits_Tb[#Headers],0))</f>
        <v>0</v>
      </c>
      <c r="O42" s="22">
        <f>INDEX(ControlBits_Tb[],MATCH($G42,ControlBits_Tb[IR],0),MATCH(O$1,ControlBits_Tb[#Headers],0))</f>
        <v>1</v>
      </c>
      <c r="P42" s="22">
        <f>INDEX(ControlBits_Tb[],MATCH($G42,ControlBits_Tb[IR],0),MATCH(P$1,ControlBits_Tb[#Headers],0))</f>
        <v>0</v>
      </c>
      <c r="Q42" s="22">
        <f>INDEX(ControlBits_Tb[],MATCH($G42,ControlBits_Tb[IR],0),MATCH(Q$1,ControlBits_Tb[#Headers],0))</f>
        <v>0</v>
      </c>
      <c r="R42" s="22">
        <f>INDEX(ControlBits_Tb[],MATCH($G42,ControlBits_Tb[IR],0),MATCH(R$1,ControlBits_Tb[#Headers],0))</f>
        <v>0</v>
      </c>
      <c r="S42" s="22">
        <f>INDEX(ControlBits_Tb[],MATCH($G42,ControlBits_Tb[IR],0),MATCH(S$1,ControlBits_Tb[#Headers],0))</f>
        <v>0</v>
      </c>
      <c r="T42" s="22">
        <f>INDEX(ControlBits_Tb[],MATCH($G42,ControlBits_Tb[IR],0),MATCH(T$1,ControlBits_Tb[#Headers],0))</f>
        <v>0</v>
      </c>
      <c r="U42" s="22">
        <f>INDEX(ControlBits_Tb[],MATCH($G42,ControlBits_Tb[IR],0),MATCH(U$1,ControlBits_Tb[#Headers],0))</f>
        <v>0</v>
      </c>
      <c r="V42" s="22">
        <f>INDEX(ControlBits_Tb[],MATCH($G42,ControlBits_Tb[IR],0),MATCH(V$1,ControlBits_Tb[#Headers],0))</f>
        <v>0</v>
      </c>
      <c r="W42" s="22">
        <f>INDEX(ControlBits_Tb[],MATCH($G42,ControlBits_Tb[IR],0),MATCH(W$1,ControlBits_Tb[#Headers],0))</f>
        <v>0</v>
      </c>
      <c r="X42" s="22">
        <f>INDEX(ControlBits_Tb[],MATCH($G42,ControlBits_Tb[IR],0),MATCH(X$1,ControlBits_Tb[#Headers],0))</f>
        <v>0</v>
      </c>
      <c r="Y42" s="22">
        <f>INDEX(ControlBits_Tb[],MATCH($G42,ControlBits_Tb[IR],0),MATCH(Y$1,ControlBits_Tb[#Headers],0))</f>
        <v>0</v>
      </c>
      <c r="Z42" s="22">
        <f>INDEX(ControlBits_Tb[],MATCH($G42,ControlBits_Tb[IR],0),MATCH(Z$1,ControlBits_Tb[#Headers],0))</f>
        <v>0</v>
      </c>
      <c r="AA42" s="22">
        <f>INDEX(ControlBits_Tb[],MATCH($G42,ControlBits_Tb[IR],0),MATCH(AA$1,ControlBits_Tb[#Headers],0))</f>
        <v>0</v>
      </c>
      <c r="AB42" s="22">
        <f>INDEX(ControlBits_Tb[],MATCH($G42,ControlBits_Tb[IR],0),MATCH(AB$1,ControlBits_Tb[#Headers],0))</f>
        <v>0</v>
      </c>
      <c r="AC42" s="22">
        <f>INDEX(ControlBits_Tb[],MATCH($G42,ControlBits_Tb[IR],0),MATCH(AC$1,ControlBits_Tb[#Headers],0))</f>
        <v>0</v>
      </c>
      <c r="AD42" s="22" t="str">
        <f>INDEX(ControlBits_Tb[],MATCH($G42,ControlBits_Tb[IR],0),MATCH(AD$1,ControlBits_Tb[#Headers],0))</f>
        <v>1d4000</v>
      </c>
      <c r="AE42" s="28" t="str">
        <f>Test[[#This Row],[16진수test]]</f>
        <v>1D4000</v>
      </c>
      <c r="AF42" s="29">
        <f t="shared" si="0"/>
        <v>1</v>
      </c>
      <c r="AG42" s="29">
        <f xml:space="preserve"> Test[[#This Row],[state]]</f>
        <v>0</v>
      </c>
      <c r="AH42" s="29">
        <f t="shared" si="1"/>
        <v>1</v>
      </c>
    </row>
    <row r="43" spans="1:36">
      <c r="A43" s="39"/>
      <c r="B43" s="40"/>
      <c r="C43" s="40"/>
      <c r="D43" s="40"/>
      <c r="E43" s="40"/>
      <c r="F43" s="36">
        <v>1</v>
      </c>
      <c r="G43" s="37" t="s">
        <v>137</v>
      </c>
      <c r="H43" s="22">
        <f>INDEX(ControlBits_Tb[],MATCH($G43,ControlBits_Tb[IR],0),MATCH(H$1,ControlBits_Tb[#Headers],0))</f>
        <v>0</v>
      </c>
      <c r="I43" s="22">
        <f>INDEX(ControlBits_Tb[],MATCH($G43,ControlBits_Tb[IR],0),MATCH(I$1,ControlBits_Tb[#Headers],0))</f>
        <v>0</v>
      </c>
      <c r="J43" s="22">
        <f>INDEX(ControlBits_Tb[],MATCH($G43,ControlBits_Tb[IR],0),MATCH(J$1,ControlBits_Tb[#Headers],0))</f>
        <v>0</v>
      </c>
      <c r="K43" s="22">
        <f>INDEX(ControlBits_Tb[],MATCH($G43,ControlBits_Tb[IR],0),MATCH(K$1,ControlBits_Tb[#Headers],0))</f>
        <v>0</v>
      </c>
      <c r="L43" s="22">
        <f>INDEX(ControlBits_Tb[],MATCH($G43,ControlBits_Tb[IR],0),MATCH(L$1,ControlBits_Tb[#Headers],0))</f>
        <v>0</v>
      </c>
      <c r="M43" s="22">
        <f>INDEX(ControlBits_Tb[],MATCH($G43,ControlBits_Tb[IR],0),MATCH(M$1,ControlBits_Tb[#Headers],0))</f>
        <v>0</v>
      </c>
      <c r="N43" s="22">
        <f>INDEX(ControlBits_Tb[],MATCH($G43,ControlBits_Tb[IR],0),MATCH(N$1,ControlBits_Tb[#Headers],0))</f>
        <v>0</v>
      </c>
      <c r="O43" s="22">
        <f>INDEX(ControlBits_Tb[],MATCH($G43,ControlBits_Tb[IR],0),MATCH(O$1,ControlBits_Tb[#Headers],0))</f>
        <v>0</v>
      </c>
      <c r="P43" s="22">
        <f>INDEX(ControlBits_Tb[],MATCH($G43,ControlBits_Tb[IR],0),MATCH(P$1,ControlBits_Tb[#Headers],0))</f>
        <v>0</v>
      </c>
      <c r="Q43" s="22">
        <f>INDEX(ControlBits_Tb[],MATCH($G43,ControlBits_Tb[IR],0),MATCH(Q$1,ControlBits_Tb[#Headers],0))</f>
        <v>0</v>
      </c>
      <c r="R43" s="22">
        <f>INDEX(ControlBits_Tb[],MATCH($G43,ControlBits_Tb[IR],0),MATCH(R$1,ControlBits_Tb[#Headers],0))</f>
        <v>0</v>
      </c>
      <c r="S43" s="22">
        <f>INDEX(ControlBits_Tb[],MATCH($G43,ControlBits_Tb[IR],0),MATCH(S$1,ControlBits_Tb[#Headers],0))</f>
        <v>0</v>
      </c>
      <c r="T43" s="22">
        <f>INDEX(ControlBits_Tb[],MATCH($G43,ControlBits_Tb[IR],0),MATCH(T$1,ControlBits_Tb[#Headers],0))</f>
        <v>0</v>
      </c>
      <c r="U43" s="22">
        <f>INDEX(ControlBits_Tb[],MATCH($G43,ControlBits_Tb[IR],0),MATCH(U$1,ControlBits_Tb[#Headers],0))</f>
        <v>0</v>
      </c>
      <c r="V43" s="22">
        <f>INDEX(ControlBits_Tb[],MATCH($G43,ControlBits_Tb[IR],0),MATCH(V$1,ControlBits_Tb[#Headers],0))</f>
        <v>0</v>
      </c>
      <c r="W43" s="22">
        <f>INDEX(ControlBits_Tb[],MATCH($G43,ControlBits_Tb[IR],0),MATCH(W$1,ControlBits_Tb[#Headers],0))</f>
        <v>0</v>
      </c>
      <c r="X43" s="22">
        <f>INDEX(ControlBits_Tb[],MATCH($G43,ControlBits_Tb[IR],0),MATCH(X$1,ControlBits_Tb[#Headers],0))</f>
        <v>1</v>
      </c>
      <c r="Y43" s="22">
        <f>INDEX(ControlBits_Tb[],MATCH($G43,ControlBits_Tb[IR],0),MATCH(Y$1,ControlBits_Tb[#Headers],0))</f>
        <v>1</v>
      </c>
      <c r="Z43" s="22">
        <f>INDEX(ControlBits_Tb[],MATCH($G43,ControlBits_Tb[IR],0),MATCH(Z$1,ControlBits_Tb[#Headers],0))</f>
        <v>0</v>
      </c>
      <c r="AA43" s="22">
        <f>INDEX(ControlBits_Tb[],MATCH($G43,ControlBits_Tb[IR],0),MATCH(AA$1,ControlBits_Tb[#Headers],0))</f>
        <v>0</v>
      </c>
      <c r="AB43" s="22">
        <f>INDEX(ControlBits_Tb[],MATCH($G43,ControlBits_Tb[IR],0),MATCH(AB$1,ControlBits_Tb[#Headers],0))</f>
        <v>0</v>
      </c>
      <c r="AC43" s="22">
        <f>INDEX(ControlBits_Tb[],MATCH($G43,ControlBits_Tb[IR],0),MATCH(AC$1,ControlBits_Tb[#Headers],0))</f>
        <v>0</v>
      </c>
      <c r="AD43" s="22" t="str">
        <f>INDEX(ControlBits_Tb[],MATCH($G43,ControlBits_Tb[IR],0),MATCH(AD$1,ControlBits_Tb[#Headers],0))</f>
        <v>000030</v>
      </c>
      <c r="AE43" s="28" t="str">
        <f>Test[[#This Row],[16진수test]]</f>
        <v>000030</v>
      </c>
      <c r="AF43" s="29">
        <f t="shared" si="0"/>
        <v>1</v>
      </c>
      <c r="AG43" s="29">
        <f xml:space="preserve"> Test[[#This Row],[state]]</f>
        <v>1</v>
      </c>
      <c r="AH43" s="29">
        <f t="shared" si="1"/>
        <v>1</v>
      </c>
    </row>
    <row r="44" spans="1:36">
      <c r="A44" s="39"/>
      <c r="B44" s="40"/>
      <c r="C44" s="40"/>
      <c r="D44" s="40"/>
      <c r="E44" s="40"/>
      <c r="F44" s="36">
        <v>5</v>
      </c>
      <c r="G44" s="38" t="s">
        <v>172</v>
      </c>
      <c r="H44" s="22">
        <f>INDEX(ControlBits_Tb[],MATCH($G44,ControlBits_Tb[IR],0),MATCH(H$1,ControlBits_Tb[#Headers],0))</f>
        <v>0</v>
      </c>
      <c r="I44" s="22">
        <f>INDEX(ControlBits_Tb[],MATCH($G44,ControlBits_Tb[IR],0),MATCH(I$1,ControlBits_Tb[#Headers],0))</f>
        <v>0</v>
      </c>
      <c r="J44" s="22">
        <f>INDEX(ControlBits_Tb[],MATCH($G44,ControlBits_Tb[IR],0),MATCH(J$1,ControlBits_Tb[#Headers],0))</f>
        <v>1</v>
      </c>
      <c r="K44" s="22">
        <f>INDEX(ControlBits_Tb[],MATCH($G44,ControlBits_Tb[IR],0),MATCH(K$1,ControlBits_Tb[#Headers],0))</f>
        <v>1</v>
      </c>
      <c r="L44" s="22">
        <f>INDEX(ControlBits_Tb[],MATCH($G44,ControlBits_Tb[IR],0),MATCH(L$1,ControlBits_Tb[#Headers],0))</f>
        <v>0</v>
      </c>
      <c r="M44" s="22">
        <f>INDEX(ControlBits_Tb[],MATCH($G44,ControlBits_Tb[IR],0),MATCH(M$1,ControlBits_Tb[#Headers],0))</f>
        <v>0</v>
      </c>
      <c r="N44" s="22">
        <f>INDEX(ControlBits_Tb[],MATCH($G44,ControlBits_Tb[IR],0),MATCH(N$1,ControlBits_Tb[#Headers],0))</f>
        <v>0</v>
      </c>
      <c r="O44" s="22">
        <f>INDEX(ControlBits_Tb[],MATCH($G44,ControlBits_Tb[IR],0),MATCH(O$1,ControlBits_Tb[#Headers],0))</f>
        <v>0</v>
      </c>
      <c r="P44" s="22">
        <f>INDEX(ControlBits_Tb[],MATCH($G44,ControlBits_Tb[IR],0),MATCH(P$1,ControlBits_Tb[#Headers],0))</f>
        <v>0</v>
      </c>
      <c r="Q44" s="22">
        <f>INDEX(ControlBits_Tb[],MATCH($G44,ControlBits_Tb[IR],0),MATCH(Q$1,ControlBits_Tb[#Headers],0))</f>
        <v>0</v>
      </c>
      <c r="R44" s="22">
        <f>INDEX(ControlBits_Tb[],MATCH($G44,ControlBits_Tb[IR],0),MATCH(R$1,ControlBits_Tb[#Headers],0))</f>
        <v>0</v>
      </c>
      <c r="S44" s="22">
        <f>INDEX(ControlBits_Tb[],MATCH($G44,ControlBits_Tb[IR],0),MATCH(S$1,ControlBits_Tb[#Headers],0))</f>
        <v>0</v>
      </c>
      <c r="T44" s="22">
        <f>INDEX(ControlBits_Tb[],MATCH($G44,ControlBits_Tb[IR],0),MATCH(T$1,ControlBits_Tb[#Headers],0))</f>
        <v>0</v>
      </c>
      <c r="U44" s="22">
        <f>INDEX(ControlBits_Tb[],MATCH($G44,ControlBits_Tb[IR],0),MATCH(U$1,ControlBits_Tb[#Headers],0))</f>
        <v>0</v>
      </c>
      <c r="V44" s="22">
        <f>INDEX(ControlBits_Tb[],MATCH($G44,ControlBits_Tb[IR],0),MATCH(V$1,ControlBits_Tb[#Headers],0))</f>
        <v>0</v>
      </c>
      <c r="W44" s="22">
        <f>INDEX(ControlBits_Tb[],MATCH($G44,ControlBits_Tb[IR],0),MATCH(W$1,ControlBits_Tb[#Headers],0))</f>
        <v>0</v>
      </c>
      <c r="X44" s="22">
        <f>INDEX(ControlBits_Tb[],MATCH($G44,ControlBits_Tb[IR],0),MATCH(X$1,ControlBits_Tb[#Headers],0))</f>
        <v>0</v>
      </c>
      <c r="Y44" s="22">
        <f>INDEX(ControlBits_Tb[],MATCH($G44,ControlBits_Tb[IR],0),MATCH(Y$1,ControlBits_Tb[#Headers],0))</f>
        <v>0</v>
      </c>
      <c r="Z44" s="22">
        <f>INDEX(ControlBits_Tb[],MATCH($G44,ControlBits_Tb[IR],0),MATCH(Z$1,ControlBits_Tb[#Headers],0))</f>
        <v>0</v>
      </c>
      <c r="AA44" s="22">
        <f>INDEX(ControlBits_Tb[],MATCH($G44,ControlBits_Tb[IR],0),MATCH(AA$1,ControlBits_Tb[#Headers],0))</f>
        <v>0</v>
      </c>
      <c r="AB44" s="22">
        <f>INDEX(ControlBits_Tb[],MATCH($G44,ControlBits_Tb[IR],0),MATCH(AB$1,ControlBits_Tb[#Headers],0))</f>
        <v>0</v>
      </c>
      <c r="AC44" s="22">
        <f>INDEX(ControlBits_Tb[],MATCH($G44,ControlBits_Tb[IR],0),MATCH(AC$1,ControlBits_Tb[#Headers],0))</f>
        <v>0</v>
      </c>
      <c r="AD44" s="22" t="str">
        <f>INDEX(ControlBits_Tb[],MATCH($G44,ControlBits_Tb[IR],0),MATCH(AD$1,ControlBits_Tb[#Headers],0))</f>
        <v>0c0000</v>
      </c>
      <c r="AE44" s="28" t="str">
        <f>Test[[#This Row],[16진수test]]</f>
        <v>0C0000</v>
      </c>
      <c r="AF44" s="29">
        <f t="shared" si="0"/>
        <v>1</v>
      </c>
      <c r="AG44" s="29">
        <f xml:space="preserve"> Test[[#This Row],[state]]</f>
        <v>5</v>
      </c>
      <c r="AH44" s="29">
        <f t="shared" si="1"/>
        <v>1</v>
      </c>
      <c r="AJ44" s="12"/>
    </row>
    <row r="45" spans="1:36">
      <c r="A45" s="39">
        <v>11</v>
      </c>
      <c r="B45" s="40" t="s">
        <v>86</v>
      </c>
      <c r="C45" s="40" t="s">
        <v>123</v>
      </c>
      <c r="D45" s="40" t="s">
        <v>66</v>
      </c>
      <c r="E45" s="40" t="s">
        <v>68</v>
      </c>
      <c r="F45" s="36">
        <v>0</v>
      </c>
      <c r="G45" s="37" t="s">
        <v>26</v>
      </c>
      <c r="H45" s="22">
        <f>INDEX(ControlBits_Tb[],MATCH($G45,ControlBits_Tb[IR],0),MATCH(H$1,ControlBits_Tb[#Headers],0))</f>
        <v>0</v>
      </c>
      <c r="I45" s="22">
        <f>INDEX(ControlBits_Tb[],MATCH($G45,ControlBits_Tb[IR],0),MATCH(I$1,ControlBits_Tb[#Headers],0))</f>
        <v>1</v>
      </c>
      <c r="J45" s="22">
        <f>INDEX(ControlBits_Tb[],MATCH($G45,ControlBits_Tb[IR],0),MATCH(J$1,ControlBits_Tb[#Headers],0))</f>
        <v>1</v>
      </c>
      <c r="K45" s="22">
        <f>INDEX(ControlBits_Tb[],MATCH($G45,ControlBits_Tb[IR],0),MATCH(K$1,ControlBits_Tb[#Headers],0))</f>
        <v>1</v>
      </c>
      <c r="L45" s="22">
        <f>INDEX(ControlBits_Tb[],MATCH($G45,ControlBits_Tb[IR],0),MATCH(L$1,ControlBits_Tb[#Headers],0))</f>
        <v>0</v>
      </c>
      <c r="M45" s="22">
        <f>INDEX(ControlBits_Tb[],MATCH($G45,ControlBits_Tb[IR],0),MATCH(M$1,ControlBits_Tb[#Headers],0))</f>
        <v>1</v>
      </c>
      <c r="N45" s="22">
        <f>INDEX(ControlBits_Tb[],MATCH($G45,ControlBits_Tb[IR],0),MATCH(N$1,ControlBits_Tb[#Headers],0))</f>
        <v>0</v>
      </c>
      <c r="O45" s="22">
        <f>INDEX(ControlBits_Tb[],MATCH($G45,ControlBits_Tb[IR],0),MATCH(O$1,ControlBits_Tb[#Headers],0))</f>
        <v>1</v>
      </c>
      <c r="P45" s="22">
        <f>INDEX(ControlBits_Tb[],MATCH($G45,ControlBits_Tb[IR],0),MATCH(P$1,ControlBits_Tb[#Headers],0))</f>
        <v>0</v>
      </c>
      <c r="Q45" s="22">
        <f>INDEX(ControlBits_Tb[],MATCH($G45,ControlBits_Tb[IR],0),MATCH(Q$1,ControlBits_Tb[#Headers],0))</f>
        <v>0</v>
      </c>
      <c r="R45" s="22">
        <f>INDEX(ControlBits_Tb[],MATCH($G45,ControlBits_Tb[IR],0),MATCH(R$1,ControlBits_Tb[#Headers],0))</f>
        <v>0</v>
      </c>
      <c r="S45" s="22">
        <f>INDEX(ControlBits_Tb[],MATCH($G45,ControlBits_Tb[IR],0),MATCH(S$1,ControlBits_Tb[#Headers],0))</f>
        <v>0</v>
      </c>
      <c r="T45" s="22">
        <f>INDEX(ControlBits_Tb[],MATCH($G45,ControlBits_Tb[IR],0),MATCH(T$1,ControlBits_Tb[#Headers],0))</f>
        <v>0</v>
      </c>
      <c r="U45" s="22">
        <f>INDEX(ControlBits_Tb[],MATCH($G45,ControlBits_Tb[IR],0),MATCH(U$1,ControlBits_Tb[#Headers],0))</f>
        <v>0</v>
      </c>
      <c r="V45" s="22">
        <f>INDEX(ControlBits_Tb[],MATCH($G45,ControlBits_Tb[IR],0),MATCH(V$1,ControlBits_Tb[#Headers],0))</f>
        <v>0</v>
      </c>
      <c r="W45" s="22">
        <f>INDEX(ControlBits_Tb[],MATCH($G45,ControlBits_Tb[IR],0),MATCH(W$1,ControlBits_Tb[#Headers],0))</f>
        <v>0</v>
      </c>
      <c r="X45" s="22">
        <f>INDEX(ControlBits_Tb[],MATCH($G45,ControlBits_Tb[IR],0),MATCH(X$1,ControlBits_Tb[#Headers],0))</f>
        <v>0</v>
      </c>
      <c r="Y45" s="22">
        <f>INDEX(ControlBits_Tb[],MATCH($G45,ControlBits_Tb[IR],0),MATCH(Y$1,ControlBits_Tb[#Headers],0))</f>
        <v>0</v>
      </c>
      <c r="Z45" s="22">
        <f>INDEX(ControlBits_Tb[],MATCH($G45,ControlBits_Tb[IR],0),MATCH(Z$1,ControlBits_Tb[#Headers],0))</f>
        <v>0</v>
      </c>
      <c r="AA45" s="22">
        <f>INDEX(ControlBits_Tb[],MATCH($G45,ControlBits_Tb[IR],0),MATCH(AA$1,ControlBits_Tb[#Headers],0))</f>
        <v>0</v>
      </c>
      <c r="AB45" s="22">
        <f>INDEX(ControlBits_Tb[],MATCH($G45,ControlBits_Tb[IR],0),MATCH(AB$1,ControlBits_Tb[#Headers],0))</f>
        <v>0</v>
      </c>
      <c r="AC45" s="22">
        <f>INDEX(ControlBits_Tb[],MATCH($G45,ControlBits_Tb[IR],0),MATCH(AC$1,ControlBits_Tb[#Headers],0))</f>
        <v>0</v>
      </c>
      <c r="AD45" s="22" t="str">
        <f>INDEX(ControlBits_Tb[],MATCH($G45,ControlBits_Tb[IR],0),MATCH(AD$1,ControlBits_Tb[#Headers],0))</f>
        <v>1d4000</v>
      </c>
      <c r="AE45" s="28" t="str">
        <f>Test[[#This Row],[16진수test]]</f>
        <v>1D4000</v>
      </c>
      <c r="AF45" s="29">
        <f t="shared" si="0"/>
        <v>1</v>
      </c>
      <c r="AG45" s="29">
        <f xml:space="preserve"> Test[[#This Row],[state]]</f>
        <v>0</v>
      </c>
      <c r="AH45" s="29">
        <f t="shared" si="1"/>
        <v>1</v>
      </c>
    </row>
    <row r="46" spans="1:36">
      <c r="A46" s="39"/>
      <c r="B46" s="40"/>
      <c r="C46" s="40"/>
      <c r="D46" s="40"/>
      <c r="E46" s="40"/>
      <c r="F46" s="36">
        <v>1</v>
      </c>
      <c r="G46" s="37" t="s">
        <v>137</v>
      </c>
      <c r="H46" s="22">
        <f>INDEX(ControlBits_Tb[],MATCH($G46,ControlBits_Tb[IR],0),MATCH(H$1,ControlBits_Tb[#Headers],0))</f>
        <v>0</v>
      </c>
      <c r="I46" s="22">
        <f>INDEX(ControlBits_Tb[],MATCH($G46,ControlBits_Tb[IR],0),MATCH(I$1,ControlBits_Tb[#Headers],0))</f>
        <v>0</v>
      </c>
      <c r="J46" s="22">
        <f>INDEX(ControlBits_Tb[],MATCH($G46,ControlBits_Tb[IR],0),MATCH(J$1,ControlBits_Tb[#Headers],0))</f>
        <v>0</v>
      </c>
      <c r="K46" s="22">
        <f>INDEX(ControlBits_Tb[],MATCH($G46,ControlBits_Tb[IR],0),MATCH(K$1,ControlBits_Tb[#Headers],0))</f>
        <v>0</v>
      </c>
      <c r="L46" s="22">
        <f>INDEX(ControlBits_Tb[],MATCH($G46,ControlBits_Tb[IR],0),MATCH(L$1,ControlBits_Tb[#Headers],0))</f>
        <v>0</v>
      </c>
      <c r="M46" s="22">
        <f>INDEX(ControlBits_Tb[],MATCH($G46,ControlBits_Tb[IR],0),MATCH(M$1,ControlBits_Tb[#Headers],0))</f>
        <v>0</v>
      </c>
      <c r="N46" s="22">
        <f>INDEX(ControlBits_Tb[],MATCH($G46,ControlBits_Tb[IR],0),MATCH(N$1,ControlBits_Tb[#Headers],0))</f>
        <v>0</v>
      </c>
      <c r="O46" s="22">
        <f>INDEX(ControlBits_Tb[],MATCH($G46,ControlBits_Tb[IR],0),MATCH(O$1,ControlBits_Tb[#Headers],0))</f>
        <v>0</v>
      </c>
      <c r="P46" s="22">
        <f>INDEX(ControlBits_Tb[],MATCH($G46,ControlBits_Tb[IR],0),MATCH(P$1,ControlBits_Tb[#Headers],0))</f>
        <v>0</v>
      </c>
      <c r="Q46" s="22">
        <f>INDEX(ControlBits_Tb[],MATCH($G46,ControlBits_Tb[IR],0),MATCH(Q$1,ControlBits_Tb[#Headers],0))</f>
        <v>0</v>
      </c>
      <c r="R46" s="22">
        <f>INDEX(ControlBits_Tb[],MATCH($G46,ControlBits_Tb[IR],0),MATCH(R$1,ControlBits_Tb[#Headers],0))</f>
        <v>0</v>
      </c>
      <c r="S46" s="22">
        <f>INDEX(ControlBits_Tb[],MATCH($G46,ControlBits_Tb[IR],0),MATCH(S$1,ControlBits_Tb[#Headers],0))</f>
        <v>0</v>
      </c>
      <c r="T46" s="22">
        <f>INDEX(ControlBits_Tb[],MATCH($G46,ControlBits_Tb[IR],0),MATCH(T$1,ControlBits_Tb[#Headers],0))</f>
        <v>0</v>
      </c>
      <c r="U46" s="22">
        <f>INDEX(ControlBits_Tb[],MATCH($G46,ControlBits_Tb[IR],0),MATCH(U$1,ControlBits_Tb[#Headers],0))</f>
        <v>0</v>
      </c>
      <c r="V46" s="22">
        <f>INDEX(ControlBits_Tb[],MATCH($G46,ControlBits_Tb[IR],0),MATCH(V$1,ControlBits_Tb[#Headers],0))</f>
        <v>0</v>
      </c>
      <c r="W46" s="22">
        <f>INDEX(ControlBits_Tb[],MATCH($G46,ControlBits_Tb[IR],0),MATCH(W$1,ControlBits_Tb[#Headers],0))</f>
        <v>0</v>
      </c>
      <c r="X46" s="22">
        <f>INDEX(ControlBits_Tb[],MATCH($G46,ControlBits_Tb[IR],0),MATCH(X$1,ControlBits_Tb[#Headers],0))</f>
        <v>1</v>
      </c>
      <c r="Y46" s="22">
        <f>INDEX(ControlBits_Tb[],MATCH($G46,ControlBits_Tb[IR],0),MATCH(Y$1,ControlBits_Tb[#Headers],0))</f>
        <v>1</v>
      </c>
      <c r="Z46" s="22">
        <f>INDEX(ControlBits_Tb[],MATCH($G46,ControlBits_Tb[IR],0),MATCH(Z$1,ControlBits_Tb[#Headers],0))</f>
        <v>0</v>
      </c>
      <c r="AA46" s="22">
        <f>INDEX(ControlBits_Tb[],MATCH($G46,ControlBits_Tb[IR],0),MATCH(AA$1,ControlBits_Tb[#Headers],0))</f>
        <v>0</v>
      </c>
      <c r="AB46" s="22">
        <f>INDEX(ControlBits_Tb[],MATCH($G46,ControlBits_Tb[IR],0),MATCH(AB$1,ControlBits_Tb[#Headers],0))</f>
        <v>0</v>
      </c>
      <c r="AC46" s="22">
        <f>INDEX(ControlBits_Tb[],MATCH($G46,ControlBits_Tb[IR],0),MATCH(AC$1,ControlBits_Tb[#Headers],0))</f>
        <v>0</v>
      </c>
      <c r="AD46" s="22" t="str">
        <f>INDEX(ControlBits_Tb[],MATCH($G46,ControlBits_Tb[IR],0),MATCH(AD$1,ControlBits_Tb[#Headers],0))</f>
        <v>000030</v>
      </c>
      <c r="AE46" s="28" t="str">
        <f>Test[[#This Row],[16진수test]]</f>
        <v>000030</v>
      </c>
      <c r="AF46" s="29">
        <f t="shared" si="0"/>
        <v>1</v>
      </c>
      <c r="AG46" s="29">
        <f xml:space="preserve"> Test[[#This Row],[state]]</f>
        <v>1</v>
      </c>
      <c r="AH46" s="29">
        <f t="shared" si="1"/>
        <v>1</v>
      </c>
    </row>
    <row r="47" spans="1:36">
      <c r="A47" s="39"/>
      <c r="B47" s="40"/>
      <c r="C47" s="40"/>
      <c r="D47" s="40"/>
      <c r="E47" s="40"/>
      <c r="F47" s="36">
        <v>5</v>
      </c>
      <c r="G47" s="38" t="s">
        <v>254</v>
      </c>
      <c r="H47" s="22">
        <f>INDEX(ControlBits_Tb[],MATCH($G47,ControlBits_Tb[IR],0),MATCH(H$1,ControlBits_Tb[#Headers],0))</f>
        <v>1</v>
      </c>
      <c r="I47" s="22">
        <f>INDEX(ControlBits_Tb[],MATCH($G47,ControlBits_Tb[IR],0),MATCH(I$1,ControlBits_Tb[#Headers],0))</f>
        <v>0</v>
      </c>
      <c r="J47" s="22">
        <f>INDEX(ControlBits_Tb[],MATCH($G47,ControlBits_Tb[IR],0),MATCH(J$1,ControlBits_Tb[#Headers],0))</f>
        <v>0</v>
      </c>
      <c r="K47" s="22">
        <f>INDEX(ControlBits_Tb[],MATCH($G47,ControlBits_Tb[IR],0),MATCH(K$1,ControlBits_Tb[#Headers],0))</f>
        <v>1</v>
      </c>
      <c r="L47" s="22">
        <f>INDEX(ControlBits_Tb[],MATCH($G47,ControlBits_Tb[IR],0),MATCH(L$1,ControlBits_Tb[#Headers],0))</f>
        <v>0</v>
      </c>
      <c r="M47" s="22">
        <f>INDEX(ControlBits_Tb[],MATCH($G47,ControlBits_Tb[IR],0),MATCH(M$1,ControlBits_Tb[#Headers],0))</f>
        <v>0</v>
      </c>
      <c r="N47" s="22">
        <f>INDEX(ControlBits_Tb[],MATCH($G47,ControlBits_Tb[IR],0),MATCH(N$1,ControlBits_Tb[#Headers],0))</f>
        <v>0</v>
      </c>
      <c r="O47" s="22">
        <f>INDEX(ControlBits_Tb[],MATCH($G47,ControlBits_Tb[IR],0),MATCH(O$1,ControlBits_Tb[#Headers],0))</f>
        <v>0</v>
      </c>
      <c r="P47" s="22">
        <f>INDEX(ControlBits_Tb[],MATCH($G47,ControlBits_Tb[IR],0),MATCH(P$1,ControlBits_Tb[#Headers],0))</f>
        <v>0</v>
      </c>
      <c r="Q47" s="22">
        <f>INDEX(ControlBits_Tb[],MATCH($G47,ControlBits_Tb[IR],0),MATCH(Q$1,ControlBits_Tb[#Headers],0))</f>
        <v>0</v>
      </c>
      <c r="R47" s="22">
        <f>INDEX(ControlBits_Tb[],MATCH($G47,ControlBits_Tb[IR],0),MATCH(R$1,ControlBits_Tb[#Headers],0))</f>
        <v>0</v>
      </c>
      <c r="S47" s="22">
        <f>INDEX(ControlBits_Tb[],MATCH($G47,ControlBits_Tb[IR],0),MATCH(S$1,ControlBits_Tb[#Headers],0))</f>
        <v>0</v>
      </c>
      <c r="T47" s="22">
        <f>INDEX(ControlBits_Tb[],MATCH($G47,ControlBits_Tb[IR],0),MATCH(T$1,ControlBits_Tb[#Headers],0))</f>
        <v>0</v>
      </c>
      <c r="U47" s="22">
        <f>INDEX(ControlBits_Tb[],MATCH($G47,ControlBits_Tb[IR],0),MATCH(U$1,ControlBits_Tb[#Headers],0))</f>
        <v>0</v>
      </c>
      <c r="V47" s="22">
        <f>INDEX(ControlBits_Tb[],MATCH($G47,ControlBits_Tb[IR],0),MATCH(V$1,ControlBits_Tb[#Headers],0))</f>
        <v>0</v>
      </c>
      <c r="W47" s="22">
        <f>INDEX(ControlBits_Tb[],MATCH($G47,ControlBits_Tb[IR],0),MATCH(W$1,ControlBits_Tb[#Headers],0))</f>
        <v>0</v>
      </c>
      <c r="X47" s="22">
        <f>INDEX(ControlBits_Tb[],MATCH($G47,ControlBits_Tb[IR],0),MATCH(X$1,ControlBits_Tb[#Headers],0))</f>
        <v>0</v>
      </c>
      <c r="Y47" s="22">
        <f>INDEX(ControlBits_Tb[],MATCH($G47,ControlBits_Tb[IR],0),MATCH(Y$1,ControlBits_Tb[#Headers],0))</f>
        <v>0</v>
      </c>
      <c r="Z47" s="22">
        <f>INDEX(ControlBits_Tb[],MATCH($G47,ControlBits_Tb[IR],0),MATCH(Z$1,ControlBits_Tb[#Headers],0))</f>
        <v>0</v>
      </c>
      <c r="AA47" s="22">
        <f>INDEX(ControlBits_Tb[],MATCH($G47,ControlBits_Tb[IR],0),MATCH(AA$1,ControlBits_Tb[#Headers],0))</f>
        <v>0</v>
      </c>
      <c r="AB47" s="22">
        <f>INDEX(ControlBits_Tb[],MATCH($G47,ControlBits_Tb[IR],0),MATCH(AB$1,ControlBits_Tb[#Headers],0))</f>
        <v>0</v>
      </c>
      <c r="AC47" s="22">
        <f>INDEX(ControlBits_Tb[],MATCH($G47,ControlBits_Tb[IR],0),MATCH(AC$1,ControlBits_Tb[#Headers],0))</f>
        <v>0</v>
      </c>
      <c r="AD47" s="22" t="str">
        <f>INDEX(ControlBits_Tb[],MATCH($G47,ControlBits_Tb[IR],0),MATCH(AD$1,ControlBits_Tb[#Headers],0))</f>
        <v>300000</v>
      </c>
      <c r="AE47" s="28" t="str">
        <f>Test[[#This Row],[16진수test]]</f>
        <v>300000</v>
      </c>
      <c r="AF47" s="29">
        <f t="shared" si="0"/>
        <v>1</v>
      </c>
      <c r="AG47" s="29">
        <f xml:space="preserve"> Test[[#This Row],[state]]</f>
        <v>5</v>
      </c>
      <c r="AH47" s="29">
        <f t="shared" si="1"/>
        <v>1</v>
      </c>
      <c r="AJ47" s="12"/>
    </row>
    <row r="48" spans="1:36">
      <c r="A48" s="39">
        <v>12</v>
      </c>
      <c r="B48" s="41" t="s">
        <v>56</v>
      </c>
      <c r="C48" s="41" t="s">
        <v>27</v>
      </c>
      <c r="D48" s="41" t="s">
        <v>66</v>
      </c>
      <c r="E48" s="41">
        <v>101001</v>
      </c>
      <c r="F48" s="36">
        <v>0</v>
      </c>
      <c r="G48" s="37" t="s">
        <v>26</v>
      </c>
      <c r="H48" s="22">
        <f>INDEX(ControlBits_Tb[],MATCH($G48,ControlBits_Tb[IR],0),MATCH(H$1,ControlBits_Tb[#Headers],0))</f>
        <v>0</v>
      </c>
      <c r="I48" s="22">
        <f>INDEX(ControlBits_Tb[],MATCH($G48,ControlBits_Tb[IR],0),MATCH(I$1,ControlBits_Tb[#Headers],0))</f>
        <v>1</v>
      </c>
      <c r="J48" s="22">
        <f>INDEX(ControlBits_Tb[],MATCH($G48,ControlBits_Tb[IR],0),MATCH(J$1,ControlBits_Tb[#Headers],0))</f>
        <v>1</v>
      </c>
      <c r="K48" s="22">
        <f>INDEX(ControlBits_Tb[],MATCH($G48,ControlBits_Tb[IR],0),MATCH(K$1,ControlBits_Tb[#Headers],0))</f>
        <v>1</v>
      </c>
      <c r="L48" s="22">
        <f>INDEX(ControlBits_Tb[],MATCH($G48,ControlBits_Tb[IR],0),MATCH(L$1,ControlBits_Tb[#Headers],0))</f>
        <v>0</v>
      </c>
      <c r="M48" s="22">
        <f>INDEX(ControlBits_Tb[],MATCH($G48,ControlBits_Tb[IR],0),MATCH(M$1,ControlBits_Tb[#Headers],0))</f>
        <v>1</v>
      </c>
      <c r="N48" s="22">
        <f>INDEX(ControlBits_Tb[],MATCH($G48,ControlBits_Tb[IR],0),MATCH(N$1,ControlBits_Tb[#Headers],0))</f>
        <v>0</v>
      </c>
      <c r="O48" s="22">
        <f>INDEX(ControlBits_Tb[],MATCH($G48,ControlBits_Tb[IR],0),MATCH(O$1,ControlBits_Tb[#Headers],0))</f>
        <v>1</v>
      </c>
      <c r="P48" s="22">
        <f>INDEX(ControlBits_Tb[],MATCH($G48,ControlBits_Tb[IR],0),MATCH(P$1,ControlBits_Tb[#Headers],0))</f>
        <v>0</v>
      </c>
      <c r="Q48" s="22">
        <f>INDEX(ControlBits_Tb[],MATCH($G48,ControlBits_Tb[IR],0),MATCH(Q$1,ControlBits_Tb[#Headers],0))</f>
        <v>0</v>
      </c>
      <c r="R48" s="22">
        <f>INDEX(ControlBits_Tb[],MATCH($G48,ControlBits_Tb[IR],0),MATCH(R$1,ControlBits_Tb[#Headers],0))</f>
        <v>0</v>
      </c>
      <c r="S48" s="22">
        <f>INDEX(ControlBits_Tb[],MATCH($G48,ControlBits_Tb[IR],0),MATCH(S$1,ControlBits_Tb[#Headers],0))</f>
        <v>0</v>
      </c>
      <c r="T48" s="22">
        <f>INDEX(ControlBits_Tb[],MATCH($G48,ControlBits_Tb[IR],0),MATCH(T$1,ControlBits_Tb[#Headers],0))</f>
        <v>0</v>
      </c>
      <c r="U48" s="22">
        <f>INDEX(ControlBits_Tb[],MATCH($G48,ControlBits_Tb[IR],0),MATCH(U$1,ControlBits_Tb[#Headers],0))</f>
        <v>0</v>
      </c>
      <c r="V48" s="22">
        <f>INDEX(ControlBits_Tb[],MATCH($G48,ControlBits_Tb[IR],0),MATCH(V$1,ControlBits_Tb[#Headers],0))</f>
        <v>0</v>
      </c>
      <c r="W48" s="22">
        <f>INDEX(ControlBits_Tb[],MATCH($G48,ControlBits_Tb[IR],0),MATCH(W$1,ControlBits_Tb[#Headers],0))</f>
        <v>0</v>
      </c>
      <c r="X48" s="22">
        <f>INDEX(ControlBits_Tb[],MATCH($G48,ControlBits_Tb[IR],0),MATCH(X$1,ControlBits_Tb[#Headers],0))</f>
        <v>0</v>
      </c>
      <c r="Y48" s="22">
        <f>INDEX(ControlBits_Tb[],MATCH($G48,ControlBits_Tb[IR],0),MATCH(Y$1,ControlBits_Tb[#Headers],0))</f>
        <v>0</v>
      </c>
      <c r="Z48" s="22">
        <f>INDEX(ControlBits_Tb[],MATCH($G48,ControlBits_Tb[IR],0),MATCH(Z$1,ControlBits_Tb[#Headers],0))</f>
        <v>0</v>
      </c>
      <c r="AA48" s="22">
        <f>INDEX(ControlBits_Tb[],MATCH($G48,ControlBits_Tb[IR],0),MATCH(AA$1,ControlBits_Tb[#Headers],0))</f>
        <v>0</v>
      </c>
      <c r="AB48" s="22">
        <f>INDEX(ControlBits_Tb[],MATCH($G48,ControlBits_Tb[IR],0),MATCH(AB$1,ControlBits_Tb[#Headers],0))</f>
        <v>0</v>
      </c>
      <c r="AC48" s="22">
        <f>INDEX(ControlBits_Tb[],MATCH($G48,ControlBits_Tb[IR],0),MATCH(AC$1,ControlBits_Tb[#Headers],0))</f>
        <v>0</v>
      </c>
      <c r="AD48" s="22" t="str">
        <f>INDEX(ControlBits_Tb[],MATCH($G48,ControlBits_Tb[IR],0),MATCH(AD$1,ControlBits_Tb[#Headers],0))</f>
        <v>1d4000</v>
      </c>
      <c r="AE48" s="28" t="str">
        <f>Test[[#This Row],[16진수test]]</f>
        <v>1D4000</v>
      </c>
      <c r="AF48" s="29">
        <f t="shared" si="0"/>
        <v>1</v>
      </c>
      <c r="AG48" s="29">
        <f xml:space="preserve"> Test[[#This Row],[state]]</f>
        <v>0</v>
      </c>
      <c r="AH48" s="29">
        <f t="shared" si="1"/>
        <v>1</v>
      </c>
      <c r="AJ48" s="40" t="s">
        <v>249</v>
      </c>
    </row>
    <row r="49" spans="1:36">
      <c r="A49" s="39"/>
      <c r="B49" s="41"/>
      <c r="C49" s="41"/>
      <c r="D49" s="41"/>
      <c r="E49" s="41"/>
      <c r="F49" s="36">
        <v>1</v>
      </c>
      <c r="G49" s="37" t="s">
        <v>137</v>
      </c>
      <c r="H49" s="22">
        <f>INDEX(ControlBits_Tb[],MATCH($G49,ControlBits_Tb[IR],0),MATCH(H$1,ControlBits_Tb[#Headers],0))</f>
        <v>0</v>
      </c>
      <c r="I49" s="22">
        <f>INDEX(ControlBits_Tb[],MATCH($G49,ControlBits_Tb[IR],0),MATCH(I$1,ControlBits_Tb[#Headers],0))</f>
        <v>0</v>
      </c>
      <c r="J49" s="22">
        <f>INDEX(ControlBits_Tb[],MATCH($G49,ControlBits_Tb[IR],0),MATCH(J$1,ControlBits_Tb[#Headers],0))</f>
        <v>0</v>
      </c>
      <c r="K49" s="22">
        <f>INDEX(ControlBits_Tb[],MATCH($G49,ControlBits_Tb[IR],0),MATCH(K$1,ControlBits_Tb[#Headers],0))</f>
        <v>0</v>
      </c>
      <c r="L49" s="22">
        <f>INDEX(ControlBits_Tb[],MATCH($G49,ControlBits_Tb[IR],0),MATCH(L$1,ControlBits_Tb[#Headers],0))</f>
        <v>0</v>
      </c>
      <c r="M49" s="22">
        <f>INDEX(ControlBits_Tb[],MATCH($G49,ControlBits_Tb[IR],0),MATCH(M$1,ControlBits_Tb[#Headers],0))</f>
        <v>0</v>
      </c>
      <c r="N49" s="22">
        <f>INDEX(ControlBits_Tb[],MATCH($G49,ControlBits_Tb[IR],0),MATCH(N$1,ControlBits_Tb[#Headers],0))</f>
        <v>0</v>
      </c>
      <c r="O49" s="22">
        <f>INDEX(ControlBits_Tb[],MATCH($G49,ControlBits_Tb[IR],0),MATCH(O$1,ControlBits_Tb[#Headers],0))</f>
        <v>0</v>
      </c>
      <c r="P49" s="22">
        <f>INDEX(ControlBits_Tb[],MATCH($G49,ControlBits_Tb[IR],0),MATCH(P$1,ControlBits_Tb[#Headers],0))</f>
        <v>0</v>
      </c>
      <c r="Q49" s="22">
        <f>INDEX(ControlBits_Tb[],MATCH($G49,ControlBits_Tb[IR],0),MATCH(Q$1,ControlBits_Tb[#Headers],0))</f>
        <v>0</v>
      </c>
      <c r="R49" s="22">
        <f>INDEX(ControlBits_Tb[],MATCH($G49,ControlBits_Tb[IR],0),MATCH(R$1,ControlBits_Tb[#Headers],0))</f>
        <v>0</v>
      </c>
      <c r="S49" s="22">
        <f>INDEX(ControlBits_Tb[],MATCH($G49,ControlBits_Tb[IR],0),MATCH(S$1,ControlBits_Tb[#Headers],0))</f>
        <v>0</v>
      </c>
      <c r="T49" s="22">
        <f>INDEX(ControlBits_Tb[],MATCH($G49,ControlBits_Tb[IR],0),MATCH(T$1,ControlBits_Tb[#Headers],0))</f>
        <v>0</v>
      </c>
      <c r="U49" s="22">
        <f>INDEX(ControlBits_Tb[],MATCH($G49,ControlBits_Tb[IR],0),MATCH(U$1,ControlBits_Tb[#Headers],0))</f>
        <v>0</v>
      </c>
      <c r="V49" s="22">
        <f>INDEX(ControlBits_Tb[],MATCH($G49,ControlBits_Tb[IR],0),MATCH(V$1,ControlBits_Tb[#Headers],0))</f>
        <v>0</v>
      </c>
      <c r="W49" s="22">
        <f>INDEX(ControlBits_Tb[],MATCH($G49,ControlBits_Tb[IR],0),MATCH(W$1,ControlBits_Tb[#Headers],0))</f>
        <v>0</v>
      </c>
      <c r="X49" s="22">
        <f>INDEX(ControlBits_Tb[],MATCH($G49,ControlBits_Tb[IR],0),MATCH(X$1,ControlBits_Tb[#Headers],0))</f>
        <v>1</v>
      </c>
      <c r="Y49" s="22">
        <f>INDEX(ControlBits_Tb[],MATCH($G49,ControlBits_Tb[IR],0),MATCH(Y$1,ControlBits_Tb[#Headers],0))</f>
        <v>1</v>
      </c>
      <c r="Z49" s="22">
        <f>INDEX(ControlBits_Tb[],MATCH($G49,ControlBits_Tb[IR],0),MATCH(Z$1,ControlBits_Tb[#Headers],0))</f>
        <v>0</v>
      </c>
      <c r="AA49" s="22">
        <f>INDEX(ControlBits_Tb[],MATCH($G49,ControlBits_Tb[IR],0),MATCH(AA$1,ControlBits_Tb[#Headers],0))</f>
        <v>0</v>
      </c>
      <c r="AB49" s="22">
        <f>INDEX(ControlBits_Tb[],MATCH($G49,ControlBits_Tb[IR],0),MATCH(AB$1,ControlBits_Tb[#Headers],0))</f>
        <v>0</v>
      </c>
      <c r="AC49" s="22">
        <f>INDEX(ControlBits_Tb[],MATCH($G49,ControlBits_Tb[IR],0),MATCH(AC$1,ControlBits_Tb[#Headers],0))</f>
        <v>0</v>
      </c>
      <c r="AD49" s="22" t="str">
        <f>INDEX(ControlBits_Tb[],MATCH($G49,ControlBits_Tb[IR],0),MATCH(AD$1,ControlBits_Tb[#Headers],0))</f>
        <v>000030</v>
      </c>
      <c r="AE49" s="28" t="str">
        <f>Test[[#This Row],[16진수test]]</f>
        <v>000030</v>
      </c>
      <c r="AF49" s="29">
        <f t="shared" si="0"/>
        <v>1</v>
      </c>
      <c r="AG49" s="29">
        <f xml:space="preserve"> Test[[#This Row],[state]]</f>
        <v>1</v>
      </c>
      <c r="AH49" s="29">
        <f t="shared" si="1"/>
        <v>1</v>
      </c>
      <c r="AJ49" s="40"/>
    </row>
    <row r="50" spans="1:36">
      <c r="A50" s="39"/>
      <c r="B50" s="41"/>
      <c r="C50" s="41"/>
      <c r="D50" s="41"/>
      <c r="E50" s="41"/>
      <c r="F50" s="36">
        <v>7</v>
      </c>
      <c r="G50" s="38" t="s">
        <v>79</v>
      </c>
      <c r="H50" s="22">
        <f>INDEX(ControlBits_Tb[],MATCH($G50,ControlBits_Tb[IR],0),MATCH(H$1,ControlBits_Tb[#Headers],0))</f>
        <v>0</v>
      </c>
      <c r="I50" s="22">
        <f>INDEX(ControlBits_Tb[],MATCH($G50,ControlBits_Tb[IR],0),MATCH(I$1,ControlBits_Tb[#Headers],0))</f>
        <v>0</v>
      </c>
      <c r="J50" s="22">
        <f>INDEX(ControlBits_Tb[],MATCH($G50,ControlBits_Tb[IR],0),MATCH(J$1,ControlBits_Tb[#Headers],0))</f>
        <v>0</v>
      </c>
      <c r="K50" s="22">
        <f>INDEX(ControlBits_Tb[],MATCH($G50,ControlBits_Tb[IR],0),MATCH(K$1,ControlBits_Tb[#Headers],0))</f>
        <v>0</v>
      </c>
      <c r="L50" s="22">
        <f>INDEX(ControlBits_Tb[],MATCH($G50,ControlBits_Tb[IR],0),MATCH(L$1,ControlBits_Tb[#Headers],0))</f>
        <v>0</v>
      </c>
      <c r="M50" s="22">
        <f>INDEX(ControlBits_Tb[],MATCH($G50,ControlBits_Tb[IR],0),MATCH(M$1,ControlBits_Tb[#Headers],0))</f>
        <v>0</v>
      </c>
      <c r="N50" s="22">
        <f>INDEX(ControlBits_Tb[],MATCH($G50,ControlBits_Tb[IR],0),MATCH(N$1,ControlBits_Tb[#Headers],0))</f>
        <v>0</v>
      </c>
      <c r="O50" s="22">
        <f>INDEX(ControlBits_Tb[],MATCH($G50,ControlBits_Tb[IR],0),MATCH(O$1,ControlBits_Tb[#Headers],0))</f>
        <v>0</v>
      </c>
      <c r="P50" s="22">
        <f>INDEX(ControlBits_Tb[],MATCH($G50,ControlBits_Tb[IR],0),MATCH(P$1,ControlBits_Tb[#Headers],0))</f>
        <v>0</v>
      </c>
      <c r="Q50" s="22">
        <f>INDEX(ControlBits_Tb[],MATCH($G50,ControlBits_Tb[IR],0),MATCH(Q$1,ControlBits_Tb[#Headers],0))</f>
        <v>0</v>
      </c>
      <c r="R50" s="22">
        <f>INDEX(ControlBits_Tb[],MATCH($G50,ControlBits_Tb[IR],0),MATCH(R$1,ControlBits_Tb[#Headers],0))</f>
        <v>0</v>
      </c>
      <c r="S50" s="22">
        <f>INDEX(ControlBits_Tb[],MATCH($G50,ControlBits_Tb[IR],0),MATCH(S$1,ControlBits_Tb[#Headers],0))</f>
        <v>0</v>
      </c>
      <c r="T50" s="22">
        <f>INDEX(ControlBits_Tb[],MATCH($G50,ControlBits_Tb[IR],0),MATCH(T$1,ControlBits_Tb[#Headers],0))</f>
        <v>0</v>
      </c>
      <c r="U50" s="22">
        <f>INDEX(ControlBits_Tb[],MATCH($G50,ControlBits_Tb[IR],0),MATCH(U$1,ControlBits_Tb[#Headers],0))</f>
        <v>0</v>
      </c>
      <c r="V50" s="22">
        <f>INDEX(ControlBits_Tb[],MATCH($G50,ControlBits_Tb[IR],0),MATCH(V$1,ControlBits_Tb[#Headers],0))</f>
        <v>0</v>
      </c>
      <c r="W50" s="22">
        <f>INDEX(ControlBits_Tb[],MATCH($G50,ControlBits_Tb[IR],0),MATCH(W$1,ControlBits_Tb[#Headers],0))</f>
        <v>1</v>
      </c>
      <c r="X50" s="22">
        <f>INDEX(ControlBits_Tb[],MATCH($G50,ControlBits_Tb[IR],0),MATCH(X$1,ControlBits_Tb[#Headers],0))</f>
        <v>1</v>
      </c>
      <c r="Y50" s="22">
        <f>INDEX(ControlBits_Tb[],MATCH($G50,ControlBits_Tb[IR],0),MATCH(Y$1,ControlBits_Tb[#Headers],0))</f>
        <v>0</v>
      </c>
      <c r="Z50" s="22">
        <f>INDEX(ControlBits_Tb[],MATCH($G50,ControlBits_Tb[IR],0),MATCH(Z$1,ControlBits_Tb[#Headers],0))</f>
        <v>0</v>
      </c>
      <c r="AA50" s="22">
        <f>INDEX(ControlBits_Tb[],MATCH($G50,ControlBits_Tb[IR],0),MATCH(AA$1,ControlBits_Tb[#Headers],0))</f>
        <v>1</v>
      </c>
      <c r="AB50" s="22">
        <f>INDEX(ControlBits_Tb[],MATCH($G50,ControlBits_Tb[IR],0),MATCH(AB$1,ControlBits_Tb[#Headers],0))</f>
        <v>1</v>
      </c>
      <c r="AC50" s="22">
        <f>INDEX(ControlBits_Tb[],MATCH($G50,ControlBits_Tb[IR],0),MATCH(AC$1,ControlBits_Tb[#Headers],0))</f>
        <v>0</v>
      </c>
      <c r="AD50" s="22" t="str">
        <f>INDEX(ControlBits_Tb[],MATCH($G50,ControlBits_Tb[IR],0),MATCH(AD$1,ControlBits_Tb[#Headers],0))</f>
        <v>000066</v>
      </c>
      <c r="AE50" s="28" t="str">
        <f>Test[[#This Row],[16진수test]]</f>
        <v>000066</v>
      </c>
      <c r="AF50" s="29">
        <f t="shared" si="0"/>
        <v>1</v>
      </c>
      <c r="AG50" s="29">
        <f xml:space="preserve"> Test[[#This Row],[state]]</f>
        <v>7</v>
      </c>
      <c r="AH50" s="29">
        <f t="shared" si="1"/>
        <v>1</v>
      </c>
      <c r="AJ50" s="40"/>
    </row>
    <row r="51" spans="1:36">
      <c r="A51" s="39"/>
      <c r="B51" s="41"/>
      <c r="C51" s="41"/>
      <c r="D51" s="41"/>
      <c r="E51" s="41"/>
      <c r="F51" s="36">
        <v>9</v>
      </c>
      <c r="G51" s="38" t="s">
        <v>144</v>
      </c>
      <c r="H51" s="22">
        <f>INDEX(ControlBits_Tb[],MATCH($G51,ControlBits_Tb[IR],0),MATCH(H$1,ControlBits_Tb[#Headers],0))</f>
        <v>0</v>
      </c>
      <c r="I51" s="22">
        <f>INDEX(ControlBits_Tb[],MATCH($G51,ControlBits_Tb[IR],0),MATCH(I$1,ControlBits_Tb[#Headers],0))</f>
        <v>0</v>
      </c>
      <c r="J51" s="22">
        <f>INDEX(ControlBits_Tb[],MATCH($G51,ControlBits_Tb[IR],0),MATCH(J$1,ControlBits_Tb[#Headers],0))</f>
        <v>0</v>
      </c>
      <c r="K51" s="22">
        <f>INDEX(ControlBits_Tb[],MATCH($G51,ControlBits_Tb[IR],0),MATCH(K$1,ControlBits_Tb[#Headers],0))</f>
        <v>0</v>
      </c>
      <c r="L51" s="22">
        <f>INDEX(ControlBits_Tb[],MATCH($G51,ControlBits_Tb[IR],0),MATCH(L$1,ControlBits_Tb[#Headers],0))</f>
        <v>0</v>
      </c>
      <c r="M51" s="22">
        <f>INDEX(ControlBits_Tb[],MATCH($G51,ControlBits_Tb[IR],0),MATCH(M$1,ControlBits_Tb[#Headers],0))</f>
        <v>0</v>
      </c>
      <c r="N51" s="22">
        <f>INDEX(ControlBits_Tb[],MATCH($G51,ControlBits_Tb[IR],0),MATCH(N$1,ControlBits_Tb[#Headers],0))</f>
        <v>0</v>
      </c>
      <c r="O51" s="22">
        <f>INDEX(ControlBits_Tb[],MATCH($G51,ControlBits_Tb[IR],0),MATCH(O$1,ControlBits_Tb[#Headers],0))</f>
        <v>0</v>
      </c>
      <c r="P51" s="22">
        <f>INDEX(ControlBits_Tb[],MATCH($G51,ControlBits_Tb[IR],0),MATCH(P$1,ControlBits_Tb[#Headers],0))</f>
        <v>0</v>
      </c>
      <c r="Q51" s="22">
        <f>INDEX(ControlBits_Tb[],MATCH($G51,ControlBits_Tb[IR],0),MATCH(Q$1,ControlBits_Tb[#Headers],0))</f>
        <v>0</v>
      </c>
      <c r="R51" s="22">
        <f>INDEX(ControlBits_Tb[],MATCH($G51,ControlBits_Tb[IR],0),MATCH(R$1,ControlBits_Tb[#Headers],0))</f>
        <v>0</v>
      </c>
      <c r="S51" s="22">
        <f>INDEX(ControlBits_Tb[],MATCH($G51,ControlBits_Tb[IR],0),MATCH(S$1,ControlBits_Tb[#Headers],0))</f>
        <v>0</v>
      </c>
      <c r="T51" s="22">
        <f>INDEX(ControlBits_Tb[],MATCH($G51,ControlBits_Tb[IR],0),MATCH(T$1,ControlBits_Tb[#Headers],0))</f>
        <v>0</v>
      </c>
      <c r="U51" s="22">
        <f>INDEX(ControlBits_Tb[],MATCH($G51,ControlBits_Tb[IR],0),MATCH(U$1,ControlBits_Tb[#Headers],0))</f>
        <v>0</v>
      </c>
      <c r="V51" s="22">
        <f>INDEX(ControlBits_Tb[],MATCH($G51,ControlBits_Tb[IR],0),MATCH(V$1,ControlBits_Tb[#Headers],0))</f>
        <v>1</v>
      </c>
      <c r="W51" s="22">
        <f>INDEX(ControlBits_Tb[],MATCH($G51,ControlBits_Tb[IR],0),MATCH(W$1,ControlBits_Tb[#Headers],0))</f>
        <v>0</v>
      </c>
      <c r="X51" s="22">
        <f>INDEX(ControlBits_Tb[],MATCH($G51,ControlBits_Tb[IR],0),MATCH(X$1,ControlBits_Tb[#Headers],0))</f>
        <v>0</v>
      </c>
      <c r="Y51" s="22">
        <f>INDEX(ControlBits_Tb[],MATCH($G51,ControlBits_Tb[IR],0),MATCH(Y$1,ControlBits_Tb[#Headers],0))</f>
        <v>1</v>
      </c>
      <c r="Z51" s="22">
        <f>INDEX(ControlBits_Tb[],MATCH($G51,ControlBits_Tb[IR],0),MATCH(Z$1,ControlBits_Tb[#Headers],0))</f>
        <v>1</v>
      </c>
      <c r="AA51" s="22">
        <f>INDEX(ControlBits_Tb[],MATCH($G51,ControlBits_Tb[IR],0),MATCH(AA$1,ControlBits_Tb[#Headers],0))</f>
        <v>0</v>
      </c>
      <c r="AB51" s="22">
        <f>INDEX(ControlBits_Tb[],MATCH($G51,ControlBits_Tb[IR],0),MATCH(AB$1,ControlBits_Tb[#Headers],0))</f>
        <v>0</v>
      </c>
      <c r="AC51" s="22">
        <f>INDEX(ControlBits_Tb[],MATCH($G51,ControlBits_Tb[IR],0),MATCH(AC$1,ControlBits_Tb[#Headers],0))</f>
        <v>1</v>
      </c>
      <c r="AD51" s="22" t="str">
        <f>INDEX(ControlBits_Tb[],MATCH($G51,ControlBits_Tb[IR],0),MATCH(AD$1,ControlBits_Tb[#Headers],0))</f>
        <v>000099</v>
      </c>
      <c r="AE51" s="28" t="str">
        <f>Test[[#This Row],[16진수test]]</f>
        <v>000099</v>
      </c>
      <c r="AF51" s="29">
        <f t="shared" si="0"/>
        <v>1</v>
      </c>
      <c r="AG51" s="29">
        <f xml:space="preserve"> Test[[#This Row],[state]]</f>
        <v>9</v>
      </c>
      <c r="AH51" s="29">
        <f t="shared" si="1"/>
        <v>1</v>
      </c>
      <c r="AJ51" s="40"/>
    </row>
    <row r="52" spans="1:36">
      <c r="A52" s="39"/>
      <c r="B52" s="41"/>
      <c r="C52" s="41"/>
      <c r="D52" s="41"/>
      <c r="E52" s="41"/>
      <c r="F52" s="38">
        <v>8</v>
      </c>
      <c r="G52" s="38" t="s">
        <v>168</v>
      </c>
      <c r="H52" s="22">
        <f>INDEX(ControlBits_Tb[],MATCH($G52,ControlBits_Tb[IR],0),MATCH(H$1,ControlBits_Tb[#Headers],0))</f>
        <v>0</v>
      </c>
      <c r="I52" s="22">
        <f>INDEX(ControlBits_Tb[],MATCH($G52,ControlBits_Tb[IR],0),MATCH(I$1,ControlBits_Tb[#Headers],0))</f>
        <v>0</v>
      </c>
      <c r="J52" s="22">
        <f>INDEX(ControlBits_Tb[],MATCH($G52,ControlBits_Tb[IR],0),MATCH(J$1,ControlBits_Tb[#Headers],0))</f>
        <v>0</v>
      </c>
      <c r="K52" s="22">
        <f>INDEX(ControlBits_Tb[],MATCH($G52,ControlBits_Tb[IR],0),MATCH(K$1,ControlBits_Tb[#Headers],0))</f>
        <v>0</v>
      </c>
      <c r="L52" s="22">
        <f>INDEX(ControlBits_Tb[],MATCH($G52,ControlBits_Tb[IR],0),MATCH(L$1,ControlBits_Tb[#Headers],0))</f>
        <v>0</v>
      </c>
      <c r="M52" s="22">
        <f>INDEX(ControlBits_Tb[],MATCH($G52,ControlBits_Tb[IR],0),MATCH(M$1,ControlBits_Tb[#Headers],0))</f>
        <v>0</v>
      </c>
      <c r="N52" s="22">
        <f>INDEX(ControlBits_Tb[],MATCH($G52,ControlBits_Tb[IR],0),MATCH(N$1,ControlBits_Tb[#Headers],0))</f>
        <v>0</v>
      </c>
      <c r="O52" s="22">
        <f>INDEX(ControlBits_Tb[],MATCH($G52,ControlBits_Tb[IR],0),MATCH(O$1,ControlBits_Tb[#Headers],0))</f>
        <v>0</v>
      </c>
      <c r="P52" s="22">
        <f>INDEX(ControlBits_Tb[],MATCH($G52,ControlBits_Tb[IR],0),MATCH(P$1,ControlBits_Tb[#Headers],0))</f>
        <v>1</v>
      </c>
      <c r="Q52" s="22">
        <f>INDEX(ControlBits_Tb[],MATCH($G52,ControlBits_Tb[IR],0),MATCH(Q$1,ControlBits_Tb[#Headers],0))</f>
        <v>0</v>
      </c>
      <c r="R52" s="22">
        <f>INDEX(ControlBits_Tb[],MATCH($G52,ControlBits_Tb[IR],0),MATCH(R$1,ControlBits_Tb[#Headers],0))</f>
        <v>1</v>
      </c>
      <c r="S52" s="22">
        <f>INDEX(ControlBits_Tb[],MATCH($G52,ControlBits_Tb[IR],0),MATCH(S$1,ControlBits_Tb[#Headers],0))</f>
        <v>1</v>
      </c>
      <c r="T52" s="22">
        <f>INDEX(ControlBits_Tb[],MATCH($G52,ControlBits_Tb[IR],0),MATCH(T$1,ControlBits_Tb[#Headers],0))</f>
        <v>0</v>
      </c>
      <c r="U52" s="22">
        <f>INDEX(ControlBits_Tb[],MATCH($G52,ControlBits_Tb[IR],0),MATCH(U$1,ControlBits_Tb[#Headers],0))</f>
        <v>0</v>
      </c>
      <c r="V52" s="22">
        <f>INDEX(ControlBits_Tb[],MATCH($G52,ControlBits_Tb[IR],0),MATCH(V$1,ControlBits_Tb[#Headers],0))</f>
        <v>0</v>
      </c>
      <c r="W52" s="22">
        <f>INDEX(ControlBits_Tb[],MATCH($G52,ControlBits_Tb[IR],0),MATCH(W$1,ControlBits_Tb[#Headers],0))</f>
        <v>0</v>
      </c>
      <c r="X52" s="22">
        <f>INDEX(ControlBits_Tb[],MATCH($G52,ControlBits_Tb[IR],0),MATCH(X$1,ControlBits_Tb[#Headers],0))</f>
        <v>0</v>
      </c>
      <c r="Y52" s="22">
        <f>INDEX(ControlBits_Tb[],MATCH($G52,ControlBits_Tb[IR],0),MATCH(Y$1,ControlBits_Tb[#Headers],0))</f>
        <v>0</v>
      </c>
      <c r="Z52" s="22">
        <f>INDEX(ControlBits_Tb[],MATCH($G52,ControlBits_Tb[IR],0),MATCH(Z$1,ControlBits_Tb[#Headers],0))</f>
        <v>0</v>
      </c>
      <c r="AA52" s="22">
        <f>INDEX(ControlBits_Tb[],MATCH($G52,ControlBits_Tb[IR],0),MATCH(AA$1,ControlBits_Tb[#Headers],0))</f>
        <v>0</v>
      </c>
      <c r="AB52" s="22">
        <f>INDEX(ControlBits_Tb[],MATCH($G52,ControlBits_Tb[IR],0),MATCH(AB$1,ControlBits_Tb[#Headers],0))</f>
        <v>0</v>
      </c>
      <c r="AC52" s="22">
        <f>INDEX(ControlBits_Tb[],MATCH($G52,ControlBits_Tb[IR],0),MATCH(AC$1,ControlBits_Tb[#Headers],0))</f>
        <v>0</v>
      </c>
      <c r="AD52" s="22" t="str">
        <f>INDEX(ControlBits_Tb[],MATCH($G52,ControlBits_Tb[IR],0),MATCH(AD$1,ControlBits_Tb[#Headers],0))</f>
        <v>002c00</v>
      </c>
      <c r="AE52" s="28" t="str">
        <f>Test[[#This Row],[16진수test]]</f>
        <v>002C00</v>
      </c>
      <c r="AF52" s="29">
        <f t="shared" si="0"/>
        <v>1</v>
      </c>
      <c r="AG52" s="29">
        <f xml:space="preserve"> Test[[#This Row],[state]]</f>
        <v>8</v>
      </c>
      <c r="AH52" s="29">
        <f t="shared" si="1"/>
        <v>1</v>
      </c>
      <c r="AJ52" s="40"/>
    </row>
    <row r="53" spans="1:36">
      <c r="A53" s="39">
        <v>13</v>
      </c>
      <c r="B53" s="41" t="s">
        <v>57</v>
      </c>
      <c r="C53" s="41" t="s">
        <v>27</v>
      </c>
      <c r="D53" s="41" t="s">
        <v>66</v>
      </c>
      <c r="E53" s="41">
        <v>101010</v>
      </c>
      <c r="F53" s="36">
        <v>0</v>
      </c>
      <c r="G53" s="37" t="s">
        <v>26</v>
      </c>
      <c r="H53" s="22">
        <f>INDEX(ControlBits_Tb[],MATCH($G53,ControlBits_Tb[IR],0),MATCH(H$1,ControlBits_Tb[#Headers],0))</f>
        <v>0</v>
      </c>
      <c r="I53" s="22">
        <f>INDEX(ControlBits_Tb[],MATCH($G53,ControlBits_Tb[IR],0),MATCH(I$1,ControlBits_Tb[#Headers],0))</f>
        <v>1</v>
      </c>
      <c r="J53" s="22">
        <f>INDEX(ControlBits_Tb[],MATCH($G53,ControlBits_Tb[IR],0),MATCH(J$1,ControlBits_Tb[#Headers],0))</f>
        <v>1</v>
      </c>
      <c r="K53" s="22">
        <f>INDEX(ControlBits_Tb[],MATCH($G53,ControlBits_Tb[IR],0),MATCH(K$1,ControlBits_Tb[#Headers],0))</f>
        <v>1</v>
      </c>
      <c r="L53" s="22">
        <f>INDEX(ControlBits_Tb[],MATCH($G53,ControlBits_Tb[IR],0),MATCH(L$1,ControlBits_Tb[#Headers],0))</f>
        <v>0</v>
      </c>
      <c r="M53" s="22">
        <f>INDEX(ControlBits_Tb[],MATCH($G53,ControlBits_Tb[IR],0),MATCH(M$1,ControlBits_Tb[#Headers],0))</f>
        <v>1</v>
      </c>
      <c r="N53" s="22">
        <f>INDEX(ControlBits_Tb[],MATCH($G53,ControlBits_Tb[IR],0),MATCH(N$1,ControlBits_Tb[#Headers],0))</f>
        <v>0</v>
      </c>
      <c r="O53" s="22">
        <f>INDEX(ControlBits_Tb[],MATCH($G53,ControlBits_Tb[IR],0),MATCH(O$1,ControlBits_Tb[#Headers],0))</f>
        <v>1</v>
      </c>
      <c r="P53" s="22">
        <f>INDEX(ControlBits_Tb[],MATCH($G53,ControlBits_Tb[IR],0),MATCH(P$1,ControlBits_Tb[#Headers],0))</f>
        <v>0</v>
      </c>
      <c r="Q53" s="22">
        <f>INDEX(ControlBits_Tb[],MATCH($G53,ControlBits_Tb[IR],0),MATCH(Q$1,ControlBits_Tb[#Headers],0))</f>
        <v>0</v>
      </c>
      <c r="R53" s="22">
        <f>INDEX(ControlBits_Tb[],MATCH($G53,ControlBits_Tb[IR],0),MATCH(R$1,ControlBits_Tb[#Headers],0))</f>
        <v>0</v>
      </c>
      <c r="S53" s="22">
        <f>INDEX(ControlBits_Tb[],MATCH($G53,ControlBits_Tb[IR],0),MATCH(S$1,ControlBits_Tb[#Headers],0))</f>
        <v>0</v>
      </c>
      <c r="T53" s="22">
        <f>INDEX(ControlBits_Tb[],MATCH($G53,ControlBits_Tb[IR],0),MATCH(T$1,ControlBits_Tb[#Headers],0))</f>
        <v>0</v>
      </c>
      <c r="U53" s="22">
        <f>INDEX(ControlBits_Tb[],MATCH($G53,ControlBits_Tb[IR],0),MATCH(U$1,ControlBits_Tb[#Headers],0))</f>
        <v>0</v>
      </c>
      <c r="V53" s="22">
        <f>INDEX(ControlBits_Tb[],MATCH($G53,ControlBits_Tb[IR],0),MATCH(V$1,ControlBits_Tb[#Headers],0))</f>
        <v>0</v>
      </c>
      <c r="W53" s="22">
        <f>INDEX(ControlBits_Tb[],MATCH($G53,ControlBits_Tb[IR],0),MATCH(W$1,ControlBits_Tb[#Headers],0))</f>
        <v>0</v>
      </c>
      <c r="X53" s="22">
        <f>INDEX(ControlBits_Tb[],MATCH($G53,ControlBits_Tb[IR],0),MATCH(X$1,ControlBits_Tb[#Headers],0))</f>
        <v>0</v>
      </c>
      <c r="Y53" s="22">
        <f>INDEX(ControlBits_Tb[],MATCH($G53,ControlBits_Tb[IR],0),MATCH(Y$1,ControlBits_Tb[#Headers],0))</f>
        <v>0</v>
      </c>
      <c r="Z53" s="22">
        <f>INDEX(ControlBits_Tb[],MATCH($G53,ControlBits_Tb[IR],0),MATCH(Z$1,ControlBits_Tb[#Headers],0))</f>
        <v>0</v>
      </c>
      <c r="AA53" s="22">
        <f>INDEX(ControlBits_Tb[],MATCH($G53,ControlBits_Tb[IR],0),MATCH(AA$1,ControlBits_Tb[#Headers],0))</f>
        <v>0</v>
      </c>
      <c r="AB53" s="22">
        <f>INDEX(ControlBits_Tb[],MATCH($G53,ControlBits_Tb[IR],0),MATCH(AB$1,ControlBits_Tb[#Headers],0))</f>
        <v>0</v>
      </c>
      <c r="AC53" s="22">
        <f>INDEX(ControlBits_Tb[],MATCH($G53,ControlBits_Tb[IR],0),MATCH(AC$1,ControlBits_Tb[#Headers],0))</f>
        <v>0</v>
      </c>
      <c r="AD53" s="22" t="str">
        <f>INDEX(ControlBits_Tb[],MATCH($G53,ControlBits_Tb[IR],0),MATCH(AD$1,ControlBits_Tb[#Headers],0))</f>
        <v>1d4000</v>
      </c>
      <c r="AE53" s="28" t="str">
        <f>Test[[#This Row],[16진수test]]</f>
        <v>1D4000</v>
      </c>
      <c r="AF53" s="29">
        <f t="shared" si="0"/>
        <v>1</v>
      </c>
      <c r="AG53" s="29">
        <f xml:space="preserve"> Test[[#This Row],[state]]</f>
        <v>0</v>
      </c>
      <c r="AH53" s="29">
        <f t="shared" si="1"/>
        <v>1</v>
      </c>
      <c r="AJ53" s="40" t="s">
        <v>173</v>
      </c>
    </row>
    <row r="54" spans="1:36">
      <c r="A54" s="39"/>
      <c r="B54" s="41"/>
      <c r="C54" s="41"/>
      <c r="D54" s="41"/>
      <c r="E54" s="41"/>
      <c r="F54" s="36">
        <v>1</v>
      </c>
      <c r="G54" s="37" t="s">
        <v>137</v>
      </c>
      <c r="H54" s="22">
        <f>INDEX(ControlBits_Tb[],MATCH($G54,ControlBits_Tb[IR],0),MATCH(H$1,ControlBits_Tb[#Headers],0))</f>
        <v>0</v>
      </c>
      <c r="I54" s="22">
        <f>INDEX(ControlBits_Tb[],MATCH($G54,ControlBits_Tb[IR],0),MATCH(I$1,ControlBits_Tb[#Headers],0))</f>
        <v>0</v>
      </c>
      <c r="J54" s="22">
        <f>INDEX(ControlBits_Tb[],MATCH($G54,ControlBits_Tb[IR],0),MATCH(J$1,ControlBits_Tb[#Headers],0))</f>
        <v>0</v>
      </c>
      <c r="K54" s="22">
        <f>INDEX(ControlBits_Tb[],MATCH($G54,ControlBits_Tb[IR],0),MATCH(K$1,ControlBits_Tb[#Headers],0))</f>
        <v>0</v>
      </c>
      <c r="L54" s="22">
        <f>INDEX(ControlBits_Tb[],MATCH($G54,ControlBits_Tb[IR],0),MATCH(L$1,ControlBits_Tb[#Headers],0))</f>
        <v>0</v>
      </c>
      <c r="M54" s="22">
        <f>INDEX(ControlBits_Tb[],MATCH($G54,ControlBits_Tb[IR],0),MATCH(M$1,ControlBits_Tb[#Headers],0))</f>
        <v>0</v>
      </c>
      <c r="N54" s="22">
        <f>INDEX(ControlBits_Tb[],MATCH($G54,ControlBits_Tb[IR],0),MATCH(N$1,ControlBits_Tb[#Headers],0))</f>
        <v>0</v>
      </c>
      <c r="O54" s="22">
        <f>INDEX(ControlBits_Tb[],MATCH($G54,ControlBits_Tb[IR],0),MATCH(O$1,ControlBits_Tb[#Headers],0))</f>
        <v>0</v>
      </c>
      <c r="P54" s="22">
        <f>INDEX(ControlBits_Tb[],MATCH($G54,ControlBits_Tb[IR],0),MATCH(P$1,ControlBits_Tb[#Headers],0))</f>
        <v>0</v>
      </c>
      <c r="Q54" s="22">
        <f>INDEX(ControlBits_Tb[],MATCH($G54,ControlBits_Tb[IR],0),MATCH(Q$1,ControlBits_Tb[#Headers],0))</f>
        <v>0</v>
      </c>
      <c r="R54" s="22">
        <f>INDEX(ControlBits_Tb[],MATCH($G54,ControlBits_Tb[IR],0),MATCH(R$1,ControlBits_Tb[#Headers],0))</f>
        <v>0</v>
      </c>
      <c r="S54" s="22">
        <f>INDEX(ControlBits_Tb[],MATCH($G54,ControlBits_Tb[IR],0),MATCH(S$1,ControlBits_Tb[#Headers],0))</f>
        <v>0</v>
      </c>
      <c r="T54" s="22">
        <f>INDEX(ControlBits_Tb[],MATCH($G54,ControlBits_Tb[IR],0),MATCH(T$1,ControlBits_Tb[#Headers],0))</f>
        <v>0</v>
      </c>
      <c r="U54" s="22">
        <f>INDEX(ControlBits_Tb[],MATCH($G54,ControlBits_Tb[IR],0),MATCH(U$1,ControlBits_Tb[#Headers],0))</f>
        <v>0</v>
      </c>
      <c r="V54" s="22">
        <f>INDEX(ControlBits_Tb[],MATCH($G54,ControlBits_Tb[IR],0),MATCH(V$1,ControlBits_Tb[#Headers],0))</f>
        <v>0</v>
      </c>
      <c r="W54" s="22">
        <f>INDEX(ControlBits_Tb[],MATCH($G54,ControlBits_Tb[IR],0),MATCH(W$1,ControlBits_Tb[#Headers],0))</f>
        <v>0</v>
      </c>
      <c r="X54" s="22">
        <f>INDEX(ControlBits_Tb[],MATCH($G54,ControlBits_Tb[IR],0),MATCH(X$1,ControlBits_Tb[#Headers],0))</f>
        <v>1</v>
      </c>
      <c r="Y54" s="22">
        <f>INDEX(ControlBits_Tb[],MATCH($G54,ControlBits_Tb[IR],0),MATCH(Y$1,ControlBits_Tb[#Headers],0))</f>
        <v>1</v>
      </c>
      <c r="Z54" s="22">
        <f>INDEX(ControlBits_Tb[],MATCH($G54,ControlBits_Tb[IR],0),MATCH(Z$1,ControlBits_Tb[#Headers],0))</f>
        <v>0</v>
      </c>
      <c r="AA54" s="22">
        <f>INDEX(ControlBits_Tb[],MATCH($G54,ControlBits_Tb[IR],0),MATCH(AA$1,ControlBits_Tb[#Headers],0))</f>
        <v>0</v>
      </c>
      <c r="AB54" s="22">
        <f>INDEX(ControlBits_Tb[],MATCH($G54,ControlBits_Tb[IR],0),MATCH(AB$1,ControlBits_Tb[#Headers],0))</f>
        <v>0</v>
      </c>
      <c r="AC54" s="22">
        <f>INDEX(ControlBits_Tb[],MATCH($G54,ControlBits_Tb[IR],0),MATCH(AC$1,ControlBits_Tb[#Headers],0))</f>
        <v>0</v>
      </c>
      <c r="AD54" s="22" t="str">
        <f>INDEX(ControlBits_Tb[],MATCH($G54,ControlBits_Tb[IR],0),MATCH(AD$1,ControlBits_Tb[#Headers],0))</f>
        <v>000030</v>
      </c>
      <c r="AE54" s="28" t="str">
        <f>Test[[#This Row],[16진수test]]</f>
        <v>000030</v>
      </c>
      <c r="AF54" s="29">
        <f t="shared" si="0"/>
        <v>1</v>
      </c>
      <c r="AG54" s="29">
        <f xml:space="preserve"> Test[[#This Row],[state]]</f>
        <v>1</v>
      </c>
      <c r="AH54" s="29">
        <f t="shared" si="1"/>
        <v>1</v>
      </c>
      <c r="AJ54" s="40"/>
    </row>
    <row r="55" spans="1:36">
      <c r="A55" s="39"/>
      <c r="B55" s="41"/>
      <c r="C55" s="41"/>
      <c r="D55" s="41"/>
      <c r="E55" s="41"/>
      <c r="F55" s="36">
        <v>7</v>
      </c>
      <c r="G55" s="38" t="s">
        <v>128</v>
      </c>
      <c r="H55" s="22">
        <f>INDEX(ControlBits_Tb[],MATCH($G55,ControlBits_Tb[IR],0),MATCH(H$1,ControlBits_Tb[#Headers],0))</f>
        <v>0</v>
      </c>
      <c r="I55" s="22">
        <f>INDEX(ControlBits_Tb[],MATCH($G55,ControlBits_Tb[IR],0),MATCH(I$1,ControlBits_Tb[#Headers],0))</f>
        <v>0</v>
      </c>
      <c r="J55" s="22">
        <f>INDEX(ControlBits_Tb[],MATCH($G55,ControlBits_Tb[IR],0),MATCH(J$1,ControlBits_Tb[#Headers],0))</f>
        <v>0</v>
      </c>
      <c r="K55" s="22">
        <f>INDEX(ControlBits_Tb[],MATCH($G55,ControlBits_Tb[IR],0),MATCH(K$1,ControlBits_Tb[#Headers],0))</f>
        <v>0</v>
      </c>
      <c r="L55" s="22">
        <f>INDEX(ControlBits_Tb[],MATCH($G55,ControlBits_Tb[IR],0),MATCH(L$1,ControlBits_Tb[#Headers],0))</f>
        <v>0</v>
      </c>
      <c r="M55" s="22">
        <f>INDEX(ControlBits_Tb[],MATCH($G55,ControlBits_Tb[IR],0),MATCH(M$1,ControlBits_Tb[#Headers],0))</f>
        <v>0</v>
      </c>
      <c r="N55" s="22">
        <f>INDEX(ControlBits_Tb[],MATCH($G55,ControlBits_Tb[IR],0),MATCH(N$1,ControlBits_Tb[#Headers],0))</f>
        <v>0</v>
      </c>
      <c r="O55" s="22">
        <f>INDEX(ControlBits_Tb[],MATCH($G55,ControlBits_Tb[IR],0),MATCH(O$1,ControlBits_Tb[#Headers],0))</f>
        <v>0</v>
      </c>
      <c r="P55" s="22">
        <f>INDEX(ControlBits_Tb[],MATCH($G55,ControlBits_Tb[IR],0),MATCH(P$1,ControlBits_Tb[#Headers],0))</f>
        <v>0</v>
      </c>
      <c r="Q55" s="22">
        <f>INDEX(ControlBits_Tb[],MATCH($G55,ControlBits_Tb[IR],0),MATCH(Q$1,ControlBits_Tb[#Headers],0))</f>
        <v>0</v>
      </c>
      <c r="R55" s="22">
        <f>INDEX(ControlBits_Tb[],MATCH($G55,ControlBits_Tb[IR],0),MATCH(R$1,ControlBits_Tb[#Headers],0))</f>
        <v>0</v>
      </c>
      <c r="S55" s="22">
        <f>INDEX(ControlBits_Tb[],MATCH($G55,ControlBits_Tb[IR],0),MATCH(S$1,ControlBits_Tb[#Headers],0))</f>
        <v>0</v>
      </c>
      <c r="T55" s="22">
        <f>INDEX(ControlBits_Tb[],MATCH($G55,ControlBits_Tb[IR],0),MATCH(T$1,ControlBits_Tb[#Headers],0))</f>
        <v>0</v>
      </c>
      <c r="U55" s="22">
        <f>INDEX(ControlBits_Tb[],MATCH($G55,ControlBits_Tb[IR],0),MATCH(U$1,ControlBits_Tb[#Headers],0))</f>
        <v>0</v>
      </c>
      <c r="V55" s="22">
        <f>INDEX(ControlBits_Tb[],MATCH($G55,ControlBits_Tb[IR],0),MATCH(V$1,ControlBits_Tb[#Headers],0))</f>
        <v>0</v>
      </c>
      <c r="W55" s="22">
        <f>INDEX(ControlBits_Tb[],MATCH($G55,ControlBits_Tb[IR],0),MATCH(W$1,ControlBits_Tb[#Headers],0))</f>
        <v>1</v>
      </c>
      <c r="X55" s="22">
        <f>INDEX(ControlBits_Tb[],MATCH($G55,ControlBits_Tb[IR],0),MATCH(X$1,ControlBits_Tb[#Headers],0))</f>
        <v>1</v>
      </c>
      <c r="Y55" s="22">
        <f>INDEX(ControlBits_Tb[],MATCH($G55,ControlBits_Tb[IR],0),MATCH(Y$1,ControlBits_Tb[#Headers],0))</f>
        <v>0</v>
      </c>
      <c r="Z55" s="22">
        <f>INDEX(ControlBits_Tb[],MATCH($G55,ControlBits_Tb[IR],0),MATCH(Z$1,ControlBits_Tb[#Headers],0))</f>
        <v>1</v>
      </c>
      <c r="AA55" s="22">
        <f>INDEX(ControlBits_Tb[],MATCH($G55,ControlBits_Tb[IR],0),MATCH(AA$1,ControlBits_Tb[#Headers],0))</f>
        <v>0</v>
      </c>
      <c r="AB55" s="22">
        <f>INDEX(ControlBits_Tb[],MATCH($G55,ControlBits_Tb[IR],0),MATCH(AB$1,ControlBits_Tb[#Headers],0))</f>
        <v>1</v>
      </c>
      <c r="AC55" s="22">
        <f>INDEX(ControlBits_Tb[],MATCH($G55,ControlBits_Tb[IR],0),MATCH(AC$1,ControlBits_Tb[#Headers],0))</f>
        <v>0</v>
      </c>
      <c r="AD55" s="22" t="str">
        <f>INDEX(ControlBits_Tb[],MATCH($G55,ControlBits_Tb[IR],0),MATCH(AD$1,ControlBits_Tb[#Headers],0))</f>
        <v>00006a</v>
      </c>
      <c r="AE55" s="28" t="str">
        <f>Test[[#This Row],[16진수test]]</f>
        <v>00006A</v>
      </c>
      <c r="AF55" s="29">
        <f t="shared" si="0"/>
        <v>1</v>
      </c>
      <c r="AG55" s="29">
        <f xml:space="preserve"> Test[[#This Row],[state]]</f>
        <v>7</v>
      </c>
      <c r="AH55" s="29">
        <f t="shared" si="1"/>
        <v>1</v>
      </c>
      <c r="AJ55" s="40"/>
    </row>
    <row r="56" spans="1:36">
      <c r="A56" s="39"/>
      <c r="B56" s="41"/>
      <c r="C56" s="41"/>
      <c r="D56" s="41"/>
      <c r="E56" s="41"/>
      <c r="F56" s="36">
        <v>9</v>
      </c>
      <c r="G56" s="38" t="s">
        <v>145</v>
      </c>
      <c r="H56" s="22">
        <f>INDEX(ControlBits_Tb[],MATCH($G56,ControlBits_Tb[IR],0),MATCH(H$1,ControlBits_Tb[#Headers],0))</f>
        <v>0</v>
      </c>
      <c r="I56" s="22">
        <f>INDEX(ControlBits_Tb[],MATCH($G56,ControlBits_Tb[IR],0),MATCH(I$1,ControlBits_Tb[#Headers],0))</f>
        <v>0</v>
      </c>
      <c r="J56" s="22">
        <f>INDEX(ControlBits_Tb[],MATCH($G56,ControlBits_Tb[IR],0),MATCH(J$1,ControlBits_Tb[#Headers],0))</f>
        <v>0</v>
      </c>
      <c r="K56" s="22">
        <f>INDEX(ControlBits_Tb[],MATCH($G56,ControlBits_Tb[IR],0),MATCH(K$1,ControlBits_Tb[#Headers],0))</f>
        <v>0</v>
      </c>
      <c r="L56" s="22">
        <f>INDEX(ControlBits_Tb[],MATCH($G56,ControlBits_Tb[IR],0),MATCH(L$1,ControlBits_Tb[#Headers],0))</f>
        <v>0</v>
      </c>
      <c r="M56" s="22">
        <f>INDEX(ControlBits_Tb[],MATCH($G56,ControlBits_Tb[IR],0),MATCH(M$1,ControlBits_Tb[#Headers],0))</f>
        <v>0</v>
      </c>
      <c r="N56" s="22">
        <f>INDEX(ControlBits_Tb[],MATCH($G56,ControlBits_Tb[IR],0),MATCH(N$1,ControlBits_Tb[#Headers],0))</f>
        <v>0</v>
      </c>
      <c r="O56" s="22">
        <f>INDEX(ControlBits_Tb[],MATCH($G56,ControlBits_Tb[IR],0),MATCH(O$1,ControlBits_Tb[#Headers],0))</f>
        <v>0</v>
      </c>
      <c r="P56" s="22">
        <f>INDEX(ControlBits_Tb[],MATCH($G56,ControlBits_Tb[IR],0),MATCH(P$1,ControlBits_Tb[#Headers],0))</f>
        <v>0</v>
      </c>
      <c r="Q56" s="22">
        <f>INDEX(ControlBits_Tb[],MATCH($G56,ControlBits_Tb[IR],0),MATCH(Q$1,ControlBits_Tb[#Headers],0))</f>
        <v>0</v>
      </c>
      <c r="R56" s="22">
        <f>INDEX(ControlBits_Tb[],MATCH($G56,ControlBits_Tb[IR],0),MATCH(R$1,ControlBits_Tb[#Headers],0))</f>
        <v>0</v>
      </c>
      <c r="S56" s="22">
        <f>INDEX(ControlBits_Tb[],MATCH($G56,ControlBits_Tb[IR],0),MATCH(S$1,ControlBits_Tb[#Headers],0))</f>
        <v>0</v>
      </c>
      <c r="T56" s="22">
        <f>INDEX(ControlBits_Tb[],MATCH($G56,ControlBits_Tb[IR],0),MATCH(T$1,ControlBits_Tb[#Headers],0))</f>
        <v>0</v>
      </c>
      <c r="U56" s="22">
        <f>INDEX(ControlBits_Tb[],MATCH($G56,ControlBits_Tb[IR],0),MATCH(U$1,ControlBits_Tb[#Headers],0))</f>
        <v>0</v>
      </c>
      <c r="V56" s="22">
        <f>INDEX(ControlBits_Tb[],MATCH($G56,ControlBits_Tb[IR],0),MATCH(V$1,ControlBits_Tb[#Headers],0))</f>
        <v>1</v>
      </c>
      <c r="W56" s="22">
        <f>INDEX(ControlBits_Tb[],MATCH($G56,ControlBits_Tb[IR],0),MATCH(W$1,ControlBits_Tb[#Headers],0))</f>
        <v>0</v>
      </c>
      <c r="X56" s="22">
        <f>INDEX(ControlBits_Tb[],MATCH($G56,ControlBits_Tb[IR],0),MATCH(X$1,ControlBits_Tb[#Headers],0))</f>
        <v>0</v>
      </c>
      <c r="Y56" s="22">
        <f>INDEX(ControlBits_Tb[],MATCH($G56,ControlBits_Tb[IR],0),MATCH(Y$1,ControlBits_Tb[#Headers],0))</f>
        <v>1</v>
      </c>
      <c r="Z56" s="22">
        <f>INDEX(ControlBits_Tb[],MATCH($G56,ControlBits_Tb[IR],0),MATCH(Z$1,ControlBits_Tb[#Headers],0))</f>
        <v>1</v>
      </c>
      <c r="AA56" s="22">
        <f>INDEX(ControlBits_Tb[],MATCH($G56,ControlBits_Tb[IR],0),MATCH(AA$1,ControlBits_Tb[#Headers],0))</f>
        <v>0</v>
      </c>
      <c r="AB56" s="22">
        <f>INDEX(ControlBits_Tb[],MATCH($G56,ControlBits_Tb[IR],0),MATCH(AB$1,ControlBits_Tb[#Headers],0))</f>
        <v>0</v>
      </c>
      <c r="AC56" s="22">
        <f>INDEX(ControlBits_Tb[],MATCH($G56,ControlBits_Tb[IR],0),MATCH(AC$1,ControlBits_Tb[#Headers],0))</f>
        <v>1</v>
      </c>
      <c r="AD56" s="22" t="str">
        <f>INDEX(ControlBits_Tb[],MATCH($G56,ControlBits_Tb[IR],0),MATCH(AD$1,ControlBits_Tb[#Headers],0))</f>
        <v>000099</v>
      </c>
      <c r="AE56" s="28" t="str">
        <f>Test[[#This Row],[16진수test]]</f>
        <v>000099</v>
      </c>
      <c r="AF56" s="29">
        <f t="shared" si="0"/>
        <v>1</v>
      </c>
      <c r="AG56" s="29">
        <f xml:space="preserve"> Test[[#This Row],[state]]</f>
        <v>9</v>
      </c>
      <c r="AH56" s="29">
        <f t="shared" si="1"/>
        <v>1</v>
      </c>
      <c r="AJ56" s="40"/>
    </row>
    <row r="57" spans="1:36">
      <c r="A57" s="39"/>
      <c r="B57" s="41"/>
      <c r="C57" s="41"/>
      <c r="D57" s="41"/>
      <c r="E57" s="41"/>
      <c r="F57" s="38">
        <v>8</v>
      </c>
      <c r="G57" s="38" t="s">
        <v>168</v>
      </c>
      <c r="H57" s="22">
        <f>INDEX(ControlBits_Tb[],MATCH($G57,ControlBits_Tb[IR],0),MATCH(H$1,ControlBits_Tb[#Headers],0))</f>
        <v>0</v>
      </c>
      <c r="I57" s="22">
        <f>INDEX(ControlBits_Tb[],MATCH($G57,ControlBits_Tb[IR],0),MATCH(I$1,ControlBits_Tb[#Headers],0))</f>
        <v>0</v>
      </c>
      <c r="J57" s="22">
        <f>INDEX(ControlBits_Tb[],MATCH($G57,ControlBits_Tb[IR],0),MATCH(J$1,ControlBits_Tb[#Headers],0))</f>
        <v>0</v>
      </c>
      <c r="K57" s="22">
        <f>INDEX(ControlBits_Tb[],MATCH($G57,ControlBits_Tb[IR],0),MATCH(K$1,ControlBits_Tb[#Headers],0))</f>
        <v>0</v>
      </c>
      <c r="L57" s="22">
        <f>INDEX(ControlBits_Tb[],MATCH($G57,ControlBits_Tb[IR],0),MATCH(L$1,ControlBits_Tb[#Headers],0))</f>
        <v>0</v>
      </c>
      <c r="M57" s="22">
        <f>INDEX(ControlBits_Tb[],MATCH($G57,ControlBits_Tb[IR],0),MATCH(M$1,ControlBits_Tb[#Headers],0))</f>
        <v>0</v>
      </c>
      <c r="N57" s="22">
        <f>INDEX(ControlBits_Tb[],MATCH($G57,ControlBits_Tb[IR],0),MATCH(N$1,ControlBits_Tb[#Headers],0))</f>
        <v>0</v>
      </c>
      <c r="O57" s="22">
        <f>INDEX(ControlBits_Tb[],MATCH($G57,ControlBits_Tb[IR],0),MATCH(O$1,ControlBits_Tb[#Headers],0))</f>
        <v>0</v>
      </c>
      <c r="P57" s="22">
        <f>INDEX(ControlBits_Tb[],MATCH($G57,ControlBits_Tb[IR],0),MATCH(P$1,ControlBits_Tb[#Headers],0))</f>
        <v>1</v>
      </c>
      <c r="Q57" s="22">
        <f>INDEX(ControlBits_Tb[],MATCH($G57,ControlBits_Tb[IR],0),MATCH(Q$1,ControlBits_Tb[#Headers],0))</f>
        <v>0</v>
      </c>
      <c r="R57" s="22">
        <f>INDEX(ControlBits_Tb[],MATCH($G57,ControlBits_Tb[IR],0),MATCH(R$1,ControlBits_Tb[#Headers],0))</f>
        <v>1</v>
      </c>
      <c r="S57" s="22">
        <f>INDEX(ControlBits_Tb[],MATCH($G57,ControlBits_Tb[IR],0),MATCH(S$1,ControlBits_Tb[#Headers],0))</f>
        <v>1</v>
      </c>
      <c r="T57" s="22">
        <f>INDEX(ControlBits_Tb[],MATCH($G57,ControlBits_Tb[IR],0),MATCH(T$1,ControlBits_Tb[#Headers],0))</f>
        <v>0</v>
      </c>
      <c r="U57" s="22">
        <f>INDEX(ControlBits_Tb[],MATCH($G57,ControlBits_Tb[IR],0),MATCH(U$1,ControlBits_Tb[#Headers],0))</f>
        <v>0</v>
      </c>
      <c r="V57" s="22">
        <f>INDEX(ControlBits_Tb[],MATCH($G57,ControlBits_Tb[IR],0),MATCH(V$1,ControlBits_Tb[#Headers],0))</f>
        <v>0</v>
      </c>
      <c r="W57" s="22">
        <f>INDEX(ControlBits_Tb[],MATCH($G57,ControlBits_Tb[IR],0),MATCH(W$1,ControlBits_Tb[#Headers],0))</f>
        <v>0</v>
      </c>
      <c r="X57" s="22">
        <f>INDEX(ControlBits_Tb[],MATCH($G57,ControlBits_Tb[IR],0),MATCH(X$1,ControlBits_Tb[#Headers],0))</f>
        <v>0</v>
      </c>
      <c r="Y57" s="22">
        <f>INDEX(ControlBits_Tb[],MATCH($G57,ControlBits_Tb[IR],0),MATCH(Y$1,ControlBits_Tb[#Headers],0))</f>
        <v>0</v>
      </c>
      <c r="Z57" s="22">
        <f>INDEX(ControlBits_Tb[],MATCH($G57,ControlBits_Tb[IR],0),MATCH(Z$1,ControlBits_Tb[#Headers],0))</f>
        <v>0</v>
      </c>
      <c r="AA57" s="22">
        <f>INDEX(ControlBits_Tb[],MATCH($G57,ControlBits_Tb[IR],0),MATCH(AA$1,ControlBits_Tb[#Headers],0))</f>
        <v>0</v>
      </c>
      <c r="AB57" s="22">
        <f>INDEX(ControlBits_Tb[],MATCH($G57,ControlBits_Tb[IR],0),MATCH(AB$1,ControlBits_Tb[#Headers],0))</f>
        <v>0</v>
      </c>
      <c r="AC57" s="22">
        <f>INDEX(ControlBits_Tb[],MATCH($G57,ControlBits_Tb[IR],0),MATCH(AC$1,ControlBits_Tb[#Headers],0))</f>
        <v>0</v>
      </c>
      <c r="AD57" s="22" t="str">
        <f>INDEX(ControlBits_Tb[],MATCH($G57,ControlBits_Tb[IR],0),MATCH(AD$1,ControlBits_Tb[#Headers],0))</f>
        <v>002c00</v>
      </c>
      <c r="AE57" s="28" t="str">
        <f>Test[[#This Row],[16진수test]]</f>
        <v>002C00</v>
      </c>
      <c r="AF57" s="29">
        <f t="shared" si="0"/>
        <v>1</v>
      </c>
      <c r="AG57" s="29">
        <f xml:space="preserve"> Test[[#This Row],[state]]</f>
        <v>8</v>
      </c>
      <c r="AH57" s="29">
        <f t="shared" si="1"/>
        <v>1</v>
      </c>
      <c r="AJ57" s="40" t="s">
        <v>250</v>
      </c>
    </row>
    <row r="58" spans="1:36">
      <c r="A58" s="39">
        <v>14</v>
      </c>
      <c r="B58" s="41" t="s">
        <v>21</v>
      </c>
      <c r="C58" s="41" t="s">
        <v>27</v>
      </c>
      <c r="D58" s="41" t="s">
        <v>66</v>
      </c>
      <c r="E58" s="41">
        <v>110010</v>
      </c>
      <c r="F58" s="38">
        <v>0</v>
      </c>
      <c r="G58" s="37" t="s">
        <v>26</v>
      </c>
      <c r="H58" s="22">
        <f>INDEX(ControlBits_Tb[],MATCH($G58,ControlBits_Tb[IR],0),MATCH(H$1,ControlBits_Tb[#Headers],0))</f>
        <v>0</v>
      </c>
      <c r="I58" s="22">
        <f>INDEX(ControlBits_Tb[],MATCH($G58,ControlBits_Tb[IR],0),MATCH(I$1,ControlBits_Tb[#Headers],0))</f>
        <v>1</v>
      </c>
      <c r="J58" s="22">
        <f>INDEX(ControlBits_Tb[],MATCH($G58,ControlBits_Tb[IR],0),MATCH(J$1,ControlBits_Tb[#Headers],0))</f>
        <v>1</v>
      </c>
      <c r="K58" s="22">
        <f>INDEX(ControlBits_Tb[],MATCH($G58,ControlBits_Tb[IR],0),MATCH(K$1,ControlBits_Tb[#Headers],0))</f>
        <v>1</v>
      </c>
      <c r="L58" s="22">
        <f>INDEX(ControlBits_Tb[],MATCH($G58,ControlBits_Tb[IR],0),MATCH(L$1,ControlBits_Tb[#Headers],0))</f>
        <v>0</v>
      </c>
      <c r="M58" s="22">
        <f>INDEX(ControlBits_Tb[],MATCH($G58,ControlBits_Tb[IR],0),MATCH(M$1,ControlBits_Tb[#Headers],0))</f>
        <v>1</v>
      </c>
      <c r="N58" s="22">
        <f>INDEX(ControlBits_Tb[],MATCH($G58,ControlBits_Tb[IR],0),MATCH(N$1,ControlBits_Tb[#Headers],0))</f>
        <v>0</v>
      </c>
      <c r="O58" s="22">
        <f>INDEX(ControlBits_Tb[],MATCH($G58,ControlBits_Tb[IR],0),MATCH(O$1,ControlBits_Tb[#Headers],0))</f>
        <v>1</v>
      </c>
      <c r="P58" s="22">
        <f>INDEX(ControlBits_Tb[],MATCH($G58,ControlBits_Tb[IR],0),MATCH(P$1,ControlBits_Tb[#Headers],0))</f>
        <v>0</v>
      </c>
      <c r="Q58" s="22">
        <f>INDEX(ControlBits_Tb[],MATCH($G58,ControlBits_Tb[IR],0),MATCH(Q$1,ControlBits_Tb[#Headers],0))</f>
        <v>0</v>
      </c>
      <c r="R58" s="22">
        <f>INDEX(ControlBits_Tb[],MATCH($G58,ControlBits_Tb[IR],0),MATCH(R$1,ControlBits_Tb[#Headers],0))</f>
        <v>0</v>
      </c>
      <c r="S58" s="22">
        <f>INDEX(ControlBits_Tb[],MATCH($G58,ControlBits_Tb[IR],0),MATCH(S$1,ControlBits_Tb[#Headers],0))</f>
        <v>0</v>
      </c>
      <c r="T58" s="22">
        <f>INDEX(ControlBits_Tb[],MATCH($G58,ControlBits_Tb[IR],0),MATCH(T$1,ControlBits_Tb[#Headers],0))</f>
        <v>0</v>
      </c>
      <c r="U58" s="22">
        <f>INDEX(ControlBits_Tb[],MATCH($G58,ControlBits_Tb[IR],0),MATCH(U$1,ControlBits_Tb[#Headers],0))</f>
        <v>0</v>
      </c>
      <c r="V58" s="22">
        <f>INDEX(ControlBits_Tb[],MATCH($G58,ControlBits_Tb[IR],0),MATCH(V$1,ControlBits_Tb[#Headers],0))</f>
        <v>0</v>
      </c>
      <c r="W58" s="22">
        <f>INDEX(ControlBits_Tb[],MATCH($G58,ControlBits_Tb[IR],0),MATCH(W$1,ControlBits_Tb[#Headers],0))</f>
        <v>0</v>
      </c>
      <c r="X58" s="22">
        <f>INDEX(ControlBits_Tb[],MATCH($G58,ControlBits_Tb[IR],0),MATCH(X$1,ControlBits_Tb[#Headers],0))</f>
        <v>0</v>
      </c>
      <c r="Y58" s="22">
        <f>INDEX(ControlBits_Tb[],MATCH($G58,ControlBits_Tb[IR],0),MATCH(Y$1,ControlBits_Tb[#Headers],0))</f>
        <v>0</v>
      </c>
      <c r="Z58" s="22">
        <f>INDEX(ControlBits_Tb[],MATCH($G58,ControlBits_Tb[IR],0),MATCH(Z$1,ControlBits_Tb[#Headers],0))</f>
        <v>0</v>
      </c>
      <c r="AA58" s="22">
        <f>INDEX(ControlBits_Tb[],MATCH($G58,ControlBits_Tb[IR],0),MATCH(AA$1,ControlBits_Tb[#Headers],0))</f>
        <v>0</v>
      </c>
      <c r="AB58" s="22">
        <f>INDEX(ControlBits_Tb[],MATCH($G58,ControlBits_Tb[IR],0),MATCH(AB$1,ControlBits_Tb[#Headers],0))</f>
        <v>0</v>
      </c>
      <c r="AC58" s="22">
        <f>INDEX(ControlBits_Tb[],MATCH($G58,ControlBits_Tb[IR],0),MATCH(AC$1,ControlBits_Tb[#Headers],0))</f>
        <v>0</v>
      </c>
      <c r="AD58" s="22" t="str">
        <f>INDEX(ControlBits_Tb[],MATCH($G58,ControlBits_Tb[IR],0),MATCH(AD$1,ControlBits_Tb[#Headers],0))</f>
        <v>1d4000</v>
      </c>
      <c r="AE58" s="28" t="str">
        <f>Test[[#This Row],[16진수test]]</f>
        <v>1D4000</v>
      </c>
      <c r="AF58" s="29">
        <f t="shared" si="0"/>
        <v>1</v>
      </c>
      <c r="AG58" s="29">
        <f xml:space="preserve"> Test[[#This Row],[state]]</f>
        <v>0</v>
      </c>
      <c r="AH58" s="29">
        <f t="shared" si="1"/>
        <v>1</v>
      </c>
      <c r="AJ58" s="40"/>
    </row>
    <row r="59" spans="1:36">
      <c r="A59" s="39"/>
      <c r="B59" s="41"/>
      <c r="C59" s="41"/>
      <c r="D59" s="41"/>
      <c r="E59" s="41"/>
      <c r="F59" s="38">
        <v>1</v>
      </c>
      <c r="G59" s="37" t="s">
        <v>137</v>
      </c>
      <c r="H59" s="22">
        <f>INDEX(ControlBits_Tb[],MATCH($G59,ControlBits_Tb[IR],0),MATCH(H$1,ControlBits_Tb[#Headers],0))</f>
        <v>0</v>
      </c>
      <c r="I59" s="22">
        <f>INDEX(ControlBits_Tb[],MATCH($G59,ControlBits_Tb[IR],0),MATCH(I$1,ControlBits_Tb[#Headers],0))</f>
        <v>0</v>
      </c>
      <c r="J59" s="22">
        <f>INDEX(ControlBits_Tb[],MATCH($G59,ControlBits_Tb[IR],0),MATCH(J$1,ControlBits_Tb[#Headers],0))</f>
        <v>0</v>
      </c>
      <c r="K59" s="22">
        <f>INDEX(ControlBits_Tb[],MATCH($G59,ControlBits_Tb[IR],0),MATCH(K$1,ControlBits_Tb[#Headers],0))</f>
        <v>0</v>
      </c>
      <c r="L59" s="22">
        <f>INDEX(ControlBits_Tb[],MATCH($G59,ControlBits_Tb[IR],0),MATCH(L$1,ControlBits_Tb[#Headers],0))</f>
        <v>0</v>
      </c>
      <c r="M59" s="22">
        <f>INDEX(ControlBits_Tb[],MATCH($G59,ControlBits_Tb[IR],0),MATCH(M$1,ControlBits_Tb[#Headers],0))</f>
        <v>0</v>
      </c>
      <c r="N59" s="22">
        <f>INDEX(ControlBits_Tb[],MATCH($G59,ControlBits_Tb[IR],0),MATCH(N$1,ControlBits_Tb[#Headers],0))</f>
        <v>0</v>
      </c>
      <c r="O59" s="22">
        <f>INDEX(ControlBits_Tb[],MATCH($G59,ControlBits_Tb[IR],0),MATCH(O$1,ControlBits_Tb[#Headers],0))</f>
        <v>0</v>
      </c>
      <c r="P59" s="22">
        <f>INDEX(ControlBits_Tb[],MATCH($G59,ControlBits_Tb[IR],0),MATCH(P$1,ControlBits_Tb[#Headers],0))</f>
        <v>0</v>
      </c>
      <c r="Q59" s="22">
        <f>INDEX(ControlBits_Tb[],MATCH($G59,ControlBits_Tb[IR],0),MATCH(Q$1,ControlBits_Tb[#Headers],0))</f>
        <v>0</v>
      </c>
      <c r="R59" s="22">
        <f>INDEX(ControlBits_Tb[],MATCH($G59,ControlBits_Tb[IR],0),MATCH(R$1,ControlBits_Tb[#Headers],0))</f>
        <v>0</v>
      </c>
      <c r="S59" s="22">
        <f>INDEX(ControlBits_Tb[],MATCH($G59,ControlBits_Tb[IR],0),MATCH(S$1,ControlBits_Tb[#Headers],0))</f>
        <v>0</v>
      </c>
      <c r="T59" s="22">
        <f>INDEX(ControlBits_Tb[],MATCH($G59,ControlBits_Tb[IR],0),MATCH(T$1,ControlBits_Tb[#Headers],0))</f>
        <v>0</v>
      </c>
      <c r="U59" s="22">
        <f>INDEX(ControlBits_Tb[],MATCH($G59,ControlBits_Tb[IR],0),MATCH(U$1,ControlBits_Tb[#Headers],0))</f>
        <v>0</v>
      </c>
      <c r="V59" s="22">
        <f>INDEX(ControlBits_Tb[],MATCH($G59,ControlBits_Tb[IR],0),MATCH(V$1,ControlBits_Tb[#Headers],0))</f>
        <v>0</v>
      </c>
      <c r="W59" s="22">
        <f>INDEX(ControlBits_Tb[],MATCH($G59,ControlBits_Tb[IR],0),MATCH(W$1,ControlBits_Tb[#Headers],0))</f>
        <v>0</v>
      </c>
      <c r="X59" s="22">
        <f>INDEX(ControlBits_Tb[],MATCH($G59,ControlBits_Tb[IR],0),MATCH(X$1,ControlBits_Tb[#Headers],0))</f>
        <v>1</v>
      </c>
      <c r="Y59" s="22">
        <f>INDEX(ControlBits_Tb[],MATCH($G59,ControlBits_Tb[IR],0),MATCH(Y$1,ControlBits_Tb[#Headers],0))</f>
        <v>1</v>
      </c>
      <c r="Z59" s="22">
        <f>INDEX(ControlBits_Tb[],MATCH($G59,ControlBits_Tb[IR],0),MATCH(Z$1,ControlBits_Tb[#Headers],0))</f>
        <v>0</v>
      </c>
      <c r="AA59" s="22">
        <f>INDEX(ControlBits_Tb[],MATCH($G59,ControlBits_Tb[IR],0),MATCH(AA$1,ControlBits_Tb[#Headers],0))</f>
        <v>0</v>
      </c>
      <c r="AB59" s="22">
        <f>INDEX(ControlBits_Tb[],MATCH($G59,ControlBits_Tb[IR],0),MATCH(AB$1,ControlBits_Tb[#Headers],0))</f>
        <v>0</v>
      </c>
      <c r="AC59" s="22">
        <f>INDEX(ControlBits_Tb[],MATCH($G59,ControlBits_Tb[IR],0),MATCH(AC$1,ControlBits_Tb[#Headers],0))</f>
        <v>0</v>
      </c>
      <c r="AD59" s="22" t="str">
        <f>INDEX(ControlBits_Tb[],MATCH($G59,ControlBits_Tb[IR],0),MATCH(AD$1,ControlBits_Tb[#Headers],0))</f>
        <v>000030</v>
      </c>
      <c r="AE59" s="28" t="str">
        <f>Test[[#This Row],[16진수test]]</f>
        <v>000030</v>
      </c>
      <c r="AF59" s="29">
        <f t="shared" si="0"/>
        <v>1</v>
      </c>
      <c r="AG59" s="29">
        <f xml:space="preserve"> Test[[#This Row],[state]]</f>
        <v>1</v>
      </c>
      <c r="AH59" s="29">
        <f t="shared" si="1"/>
        <v>1</v>
      </c>
      <c r="AJ59" s="40"/>
    </row>
    <row r="60" spans="1:36">
      <c r="A60" s="39"/>
      <c r="B60" s="41"/>
      <c r="C60" s="41"/>
      <c r="D60" s="41"/>
      <c r="E60" s="41"/>
      <c r="F60" s="38">
        <v>10</v>
      </c>
      <c r="G60" s="38" t="s">
        <v>146</v>
      </c>
      <c r="H60" s="22">
        <f>INDEX(ControlBits_Tb[],MATCH($G60,ControlBits_Tb[IR],0),MATCH(H$1,ControlBits_Tb[#Headers],0))</f>
        <v>0</v>
      </c>
      <c r="I60" s="22">
        <f>INDEX(ControlBits_Tb[],MATCH($G60,ControlBits_Tb[IR],0),MATCH(I$1,ControlBits_Tb[#Headers],0))</f>
        <v>0</v>
      </c>
      <c r="J60" s="22">
        <f>INDEX(ControlBits_Tb[],MATCH($G60,ControlBits_Tb[IR],0),MATCH(J$1,ControlBits_Tb[#Headers],0))</f>
        <v>0</v>
      </c>
      <c r="K60" s="22">
        <f>INDEX(ControlBits_Tb[],MATCH($G60,ControlBits_Tb[IR],0),MATCH(K$1,ControlBits_Tb[#Headers],0))</f>
        <v>0</v>
      </c>
      <c r="L60" s="22">
        <f>INDEX(ControlBits_Tb[],MATCH($G60,ControlBits_Tb[IR],0),MATCH(L$1,ControlBits_Tb[#Headers],0))</f>
        <v>0</v>
      </c>
      <c r="M60" s="22">
        <f>INDEX(ControlBits_Tb[],MATCH($G60,ControlBits_Tb[IR],0),MATCH(M$1,ControlBits_Tb[#Headers],0))</f>
        <v>0</v>
      </c>
      <c r="N60" s="22">
        <f>INDEX(ControlBits_Tb[],MATCH($G60,ControlBits_Tb[IR],0),MATCH(N$1,ControlBits_Tb[#Headers],0))</f>
        <v>0</v>
      </c>
      <c r="O60" s="22">
        <f>INDEX(ControlBits_Tb[],MATCH($G60,ControlBits_Tb[IR],0),MATCH(O$1,ControlBits_Tb[#Headers],0))</f>
        <v>0</v>
      </c>
      <c r="P60" s="22">
        <f>INDEX(ControlBits_Tb[],MATCH($G60,ControlBits_Tb[IR],0),MATCH(P$1,ControlBits_Tb[#Headers],0))</f>
        <v>0</v>
      </c>
      <c r="Q60" s="22">
        <f>INDEX(ControlBits_Tb[],MATCH($G60,ControlBits_Tb[IR],0),MATCH(Q$1,ControlBits_Tb[#Headers],0))</f>
        <v>0</v>
      </c>
      <c r="R60" s="22">
        <f>INDEX(ControlBits_Tb[],MATCH($G60,ControlBits_Tb[IR],0),MATCH(R$1,ControlBits_Tb[#Headers],0))</f>
        <v>0</v>
      </c>
      <c r="S60" s="22">
        <f>INDEX(ControlBits_Tb[],MATCH($G60,ControlBits_Tb[IR],0),MATCH(S$1,ControlBits_Tb[#Headers],0))</f>
        <v>0</v>
      </c>
      <c r="T60" s="22">
        <f>INDEX(ControlBits_Tb[],MATCH($G60,ControlBits_Tb[IR],0),MATCH(T$1,ControlBits_Tb[#Headers],0))</f>
        <v>1</v>
      </c>
      <c r="U60" s="22">
        <f>INDEX(ControlBits_Tb[],MATCH($G60,ControlBits_Tb[IR],0),MATCH(U$1,ControlBits_Tb[#Headers],0))</f>
        <v>1</v>
      </c>
      <c r="V60" s="22">
        <f>INDEX(ControlBits_Tb[],MATCH($G60,ControlBits_Tb[IR],0),MATCH(V$1,ControlBits_Tb[#Headers],0))</f>
        <v>0</v>
      </c>
      <c r="W60" s="22">
        <f>INDEX(ControlBits_Tb[],MATCH($G60,ControlBits_Tb[IR],0),MATCH(W$1,ControlBits_Tb[#Headers],0))</f>
        <v>1</v>
      </c>
      <c r="X60" s="22">
        <f>INDEX(ControlBits_Tb[],MATCH($G60,ControlBits_Tb[IR],0),MATCH(X$1,ControlBits_Tb[#Headers],0))</f>
        <v>0</v>
      </c>
      <c r="Y60" s="22">
        <f>INDEX(ControlBits_Tb[],MATCH($G60,ControlBits_Tb[IR],0),MATCH(Y$1,ControlBits_Tb[#Headers],0))</f>
        <v>1</v>
      </c>
      <c r="Z60" s="22">
        <f>INDEX(ControlBits_Tb[],MATCH($G60,ControlBits_Tb[IR],0),MATCH(Z$1,ControlBits_Tb[#Headers],0))</f>
        <v>1</v>
      </c>
      <c r="AA60" s="22">
        <f>INDEX(ControlBits_Tb[],MATCH($G60,ControlBits_Tb[IR],0),MATCH(AA$1,ControlBits_Tb[#Headers],0))</f>
        <v>0</v>
      </c>
      <c r="AB60" s="22">
        <f>INDEX(ControlBits_Tb[],MATCH($G60,ControlBits_Tb[IR],0),MATCH(AB$1,ControlBits_Tb[#Headers],0))</f>
        <v>0</v>
      </c>
      <c r="AC60" s="22">
        <f>INDEX(ControlBits_Tb[],MATCH($G60,ControlBits_Tb[IR],0),MATCH(AC$1,ControlBits_Tb[#Headers],0))</f>
        <v>1</v>
      </c>
      <c r="AD60" s="22" t="str">
        <f>INDEX(ControlBits_Tb[],MATCH($G60,ControlBits_Tb[IR],0),MATCH(AD$1,ControlBits_Tb[#Headers],0))</f>
        <v>000359</v>
      </c>
      <c r="AE60" s="28" t="str">
        <f>Test[[#This Row],[16진수test]]</f>
        <v>000359</v>
      </c>
      <c r="AF60" s="29">
        <f t="shared" si="0"/>
        <v>1</v>
      </c>
      <c r="AG60" s="29">
        <f xml:space="preserve"> Test[[#This Row],[state]]</f>
        <v>10</v>
      </c>
      <c r="AH60" s="29">
        <f t="shared" si="1"/>
        <v>1</v>
      </c>
      <c r="AJ60" s="40"/>
    </row>
    <row r="61" spans="1:36">
      <c r="A61" s="39"/>
      <c r="B61" s="41"/>
      <c r="C61" s="41"/>
      <c r="D61" s="41"/>
      <c r="E61" s="41"/>
      <c r="F61" s="38">
        <v>11</v>
      </c>
      <c r="G61" s="38" t="s">
        <v>147</v>
      </c>
      <c r="H61" s="22">
        <f>INDEX(ControlBits_Tb[],MATCH($G61,ControlBits_Tb[IR],0),MATCH(H$1,ControlBits_Tb[#Headers],0))</f>
        <v>0</v>
      </c>
      <c r="I61" s="22">
        <f>INDEX(ControlBits_Tb[],MATCH($G61,ControlBits_Tb[IR],0),MATCH(I$1,ControlBits_Tb[#Headers],0))</f>
        <v>0</v>
      </c>
      <c r="J61" s="22">
        <f>INDEX(ControlBits_Tb[],MATCH($G61,ControlBits_Tb[IR],0),MATCH(J$1,ControlBits_Tb[#Headers],0))</f>
        <v>0</v>
      </c>
      <c r="K61" s="22">
        <f>INDEX(ControlBits_Tb[],MATCH($G61,ControlBits_Tb[IR],0),MATCH(K$1,ControlBits_Tb[#Headers],0))</f>
        <v>0</v>
      </c>
      <c r="L61" s="22">
        <f>INDEX(ControlBits_Tb[],MATCH($G61,ControlBits_Tb[IR],0),MATCH(L$1,ControlBits_Tb[#Headers],0))</f>
        <v>0</v>
      </c>
      <c r="M61" s="22">
        <f>INDEX(ControlBits_Tb[],MATCH($G61,ControlBits_Tb[IR],0),MATCH(M$1,ControlBits_Tb[#Headers],0))</f>
        <v>0</v>
      </c>
      <c r="N61" s="22">
        <f>INDEX(ControlBits_Tb[],MATCH($G61,ControlBits_Tb[IR],0),MATCH(N$1,ControlBits_Tb[#Headers],0))</f>
        <v>0</v>
      </c>
      <c r="O61" s="22">
        <f>INDEX(ControlBits_Tb[],MATCH($G61,ControlBits_Tb[IR],0),MATCH(O$1,ControlBits_Tb[#Headers],0))</f>
        <v>0</v>
      </c>
      <c r="P61" s="22">
        <f>INDEX(ControlBits_Tb[],MATCH($G61,ControlBits_Tb[IR],0),MATCH(P$1,ControlBits_Tb[#Headers],0))</f>
        <v>1</v>
      </c>
      <c r="Q61" s="22">
        <f>INDEX(ControlBits_Tb[],MATCH($G61,ControlBits_Tb[IR],0),MATCH(Q$1,ControlBits_Tb[#Headers],0))</f>
        <v>0</v>
      </c>
      <c r="R61" s="22">
        <f>INDEX(ControlBits_Tb[],MATCH($G61,ControlBits_Tb[IR],0),MATCH(R$1,ControlBits_Tb[#Headers],0))</f>
        <v>0</v>
      </c>
      <c r="S61" s="22">
        <f>INDEX(ControlBits_Tb[],MATCH($G61,ControlBits_Tb[IR],0),MATCH(S$1,ControlBits_Tb[#Headers],0))</f>
        <v>1</v>
      </c>
      <c r="T61" s="22">
        <f>INDEX(ControlBits_Tb[],MATCH($G61,ControlBits_Tb[IR],0),MATCH(T$1,ControlBits_Tb[#Headers],0))</f>
        <v>0</v>
      </c>
      <c r="U61" s="22">
        <f>INDEX(ControlBits_Tb[],MATCH($G61,ControlBits_Tb[IR],0),MATCH(U$1,ControlBits_Tb[#Headers],0))</f>
        <v>0</v>
      </c>
      <c r="V61" s="22">
        <f>INDEX(ControlBits_Tb[],MATCH($G61,ControlBits_Tb[IR],0),MATCH(V$1,ControlBits_Tb[#Headers],0))</f>
        <v>0</v>
      </c>
      <c r="W61" s="22">
        <f>INDEX(ControlBits_Tb[],MATCH($G61,ControlBits_Tb[IR],0),MATCH(W$1,ControlBits_Tb[#Headers],0))</f>
        <v>1</v>
      </c>
      <c r="X61" s="22">
        <f>INDEX(ControlBits_Tb[],MATCH($G61,ControlBits_Tb[IR],0),MATCH(X$1,ControlBits_Tb[#Headers],0))</f>
        <v>0</v>
      </c>
      <c r="Y61" s="22">
        <f>INDEX(ControlBits_Tb[],MATCH($G61,ControlBits_Tb[IR],0),MATCH(Y$1,ControlBits_Tb[#Headers],0))</f>
        <v>1</v>
      </c>
      <c r="Z61" s="22">
        <f>INDEX(ControlBits_Tb[],MATCH($G61,ControlBits_Tb[IR],0),MATCH(Z$1,ControlBits_Tb[#Headers],0))</f>
        <v>1</v>
      </c>
      <c r="AA61" s="22">
        <f>INDEX(ControlBits_Tb[],MATCH($G61,ControlBits_Tb[IR],0),MATCH(AA$1,ControlBits_Tb[#Headers],0))</f>
        <v>0</v>
      </c>
      <c r="AB61" s="22">
        <f>INDEX(ControlBits_Tb[],MATCH($G61,ControlBits_Tb[IR],0),MATCH(AB$1,ControlBits_Tb[#Headers],0))</f>
        <v>0</v>
      </c>
      <c r="AC61" s="22">
        <f>INDEX(ControlBits_Tb[],MATCH($G61,ControlBits_Tb[IR],0),MATCH(AC$1,ControlBits_Tb[#Headers],0))</f>
        <v>1</v>
      </c>
      <c r="AD61" s="22" t="str">
        <f>INDEX(ControlBits_Tb[],MATCH($G61,ControlBits_Tb[IR],0),MATCH(AD$1,ControlBits_Tb[#Headers],0))</f>
        <v>002459</v>
      </c>
      <c r="AE61" s="28" t="str">
        <f>Test[[#This Row],[16진수test]]</f>
        <v>002459</v>
      </c>
      <c r="AF61" s="29">
        <f t="shared" si="0"/>
        <v>1</v>
      </c>
      <c r="AG61" s="29">
        <f xml:space="preserve"> Test[[#This Row],[state]]</f>
        <v>11</v>
      </c>
      <c r="AH61" s="29">
        <f t="shared" si="1"/>
        <v>1</v>
      </c>
    </row>
    <row r="62" spans="1:36">
      <c r="A62" s="39"/>
      <c r="B62" s="41"/>
      <c r="C62" s="41"/>
      <c r="D62" s="41"/>
      <c r="E62" s="41"/>
      <c r="F62" s="38">
        <v>12</v>
      </c>
      <c r="G62" s="38" t="s">
        <v>162</v>
      </c>
      <c r="H62" s="22">
        <f>INDEX(ControlBits_Tb[],MATCH($G62,ControlBits_Tb[IR],0),MATCH(H$1,ControlBits_Tb[#Headers],0))</f>
        <v>0</v>
      </c>
      <c r="I62" s="22">
        <f>INDEX(ControlBits_Tb[],MATCH($G62,ControlBits_Tb[IR],0),MATCH(I$1,ControlBits_Tb[#Headers],0))</f>
        <v>0</v>
      </c>
      <c r="J62" s="22">
        <f>INDEX(ControlBits_Tb[],MATCH($G62,ControlBits_Tb[IR],0),MATCH(J$1,ControlBits_Tb[#Headers],0))</f>
        <v>0</v>
      </c>
      <c r="K62" s="22">
        <f>INDEX(ControlBits_Tb[],MATCH($G62,ControlBits_Tb[IR],0),MATCH(K$1,ControlBits_Tb[#Headers],0))</f>
        <v>0</v>
      </c>
      <c r="L62" s="22">
        <f>INDEX(ControlBits_Tb[],MATCH($G62,ControlBits_Tb[IR],0),MATCH(L$1,ControlBits_Tb[#Headers],0))</f>
        <v>0</v>
      </c>
      <c r="M62" s="22">
        <f>INDEX(ControlBits_Tb[],MATCH($G62,ControlBits_Tb[IR],0),MATCH(M$1,ControlBits_Tb[#Headers],0))</f>
        <v>0</v>
      </c>
      <c r="N62" s="22">
        <f>INDEX(ControlBits_Tb[],MATCH($G62,ControlBits_Tb[IR],0),MATCH(N$1,ControlBits_Tb[#Headers],0))</f>
        <v>0</v>
      </c>
      <c r="O62" s="22">
        <f>INDEX(ControlBits_Tb[],MATCH($G62,ControlBits_Tb[IR],0),MATCH(O$1,ControlBits_Tb[#Headers],0))</f>
        <v>0</v>
      </c>
      <c r="P62" s="22">
        <f>INDEX(ControlBits_Tb[],MATCH($G62,ControlBits_Tb[IR],0),MATCH(P$1,ControlBits_Tb[#Headers],0))</f>
        <v>1</v>
      </c>
      <c r="Q62" s="22">
        <f>INDEX(ControlBits_Tb[],MATCH($G62,ControlBits_Tb[IR],0),MATCH(Q$1,ControlBits_Tb[#Headers],0))</f>
        <v>1</v>
      </c>
      <c r="R62" s="22">
        <f>INDEX(ControlBits_Tb[],MATCH($G62,ControlBits_Tb[IR],0),MATCH(R$1,ControlBits_Tb[#Headers],0))</f>
        <v>1</v>
      </c>
      <c r="S62" s="22">
        <f>INDEX(ControlBits_Tb[],MATCH($G62,ControlBits_Tb[IR],0),MATCH(S$1,ControlBits_Tb[#Headers],0))</f>
        <v>1</v>
      </c>
      <c r="T62" s="22">
        <f>INDEX(ControlBits_Tb[],MATCH($G62,ControlBits_Tb[IR],0),MATCH(T$1,ControlBits_Tb[#Headers],0))</f>
        <v>0</v>
      </c>
      <c r="U62" s="22">
        <f>INDEX(ControlBits_Tb[],MATCH($G62,ControlBits_Tb[IR],0),MATCH(U$1,ControlBits_Tb[#Headers],0))</f>
        <v>0</v>
      </c>
      <c r="V62" s="22">
        <f>INDEX(ControlBits_Tb[],MATCH($G62,ControlBits_Tb[IR],0),MATCH(V$1,ControlBits_Tb[#Headers],0))</f>
        <v>0</v>
      </c>
      <c r="W62" s="22">
        <f>INDEX(ControlBits_Tb[],MATCH($G62,ControlBits_Tb[IR],0),MATCH(W$1,ControlBits_Tb[#Headers],0))</f>
        <v>0</v>
      </c>
      <c r="X62" s="22">
        <f>INDEX(ControlBits_Tb[],MATCH($G62,ControlBits_Tb[IR],0),MATCH(X$1,ControlBits_Tb[#Headers],0))</f>
        <v>0</v>
      </c>
      <c r="Y62" s="22">
        <f>INDEX(ControlBits_Tb[],MATCH($G62,ControlBits_Tb[IR],0),MATCH(Y$1,ControlBits_Tb[#Headers],0))</f>
        <v>0</v>
      </c>
      <c r="Z62" s="22">
        <f>INDEX(ControlBits_Tb[],MATCH($G62,ControlBits_Tb[IR],0),MATCH(Z$1,ControlBits_Tb[#Headers],0))</f>
        <v>0</v>
      </c>
      <c r="AA62" s="22">
        <f>INDEX(ControlBits_Tb[],MATCH($G62,ControlBits_Tb[IR],0),MATCH(AA$1,ControlBits_Tb[#Headers],0))</f>
        <v>0</v>
      </c>
      <c r="AB62" s="22">
        <f>INDEX(ControlBits_Tb[],MATCH($G62,ControlBits_Tb[IR],0),MATCH(AB$1,ControlBits_Tb[#Headers],0))</f>
        <v>0</v>
      </c>
      <c r="AC62" s="22">
        <f>INDEX(ControlBits_Tb[],MATCH($G62,ControlBits_Tb[IR],0),MATCH(AC$1,ControlBits_Tb[#Headers],0))</f>
        <v>0</v>
      </c>
      <c r="AD62" s="22" t="str">
        <f>INDEX(ControlBits_Tb[],MATCH($G62,ControlBits_Tb[IR],0),MATCH(AD$1,ControlBits_Tb[#Headers],0))</f>
        <v>003c00</v>
      </c>
      <c r="AE62" s="28" t="str">
        <f>Test[[#This Row],[16진수test]]</f>
        <v>003C00</v>
      </c>
      <c r="AF62" s="29">
        <f t="shared" si="0"/>
        <v>1</v>
      </c>
      <c r="AG62" s="29">
        <f xml:space="preserve"> Test[[#This Row],[state]]</f>
        <v>12</v>
      </c>
      <c r="AH62" s="29">
        <f t="shared" si="1"/>
        <v>1</v>
      </c>
    </row>
    <row r="63" spans="1:36">
      <c r="A63" s="39">
        <v>15</v>
      </c>
      <c r="B63" s="40" t="s">
        <v>129</v>
      </c>
      <c r="C63" s="40" t="s">
        <v>87</v>
      </c>
      <c r="D63" s="40" t="s">
        <v>67</v>
      </c>
      <c r="E63" s="40" t="s">
        <v>88</v>
      </c>
      <c r="F63" s="36">
        <v>0</v>
      </c>
      <c r="G63" s="37" t="s">
        <v>26</v>
      </c>
      <c r="H63" s="22">
        <f>INDEX(ControlBits_Tb[],MATCH($G63,ControlBits_Tb[IR],0),MATCH(H$1,ControlBits_Tb[#Headers],0))</f>
        <v>0</v>
      </c>
      <c r="I63" s="22">
        <f>INDEX(ControlBits_Tb[],MATCH($G63,ControlBits_Tb[IR],0),MATCH(I$1,ControlBits_Tb[#Headers],0))</f>
        <v>1</v>
      </c>
      <c r="J63" s="22">
        <f>INDEX(ControlBits_Tb[],MATCH($G63,ControlBits_Tb[IR],0),MATCH(J$1,ControlBits_Tb[#Headers],0))</f>
        <v>1</v>
      </c>
      <c r="K63" s="22">
        <f>INDEX(ControlBits_Tb[],MATCH($G63,ControlBits_Tb[IR],0),MATCH(K$1,ControlBits_Tb[#Headers],0))</f>
        <v>1</v>
      </c>
      <c r="L63" s="22">
        <f>INDEX(ControlBits_Tb[],MATCH($G63,ControlBits_Tb[IR],0),MATCH(L$1,ControlBits_Tb[#Headers],0))</f>
        <v>0</v>
      </c>
      <c r="M63" s="22">
        <f>INDEX(ControlBits_Tb[],MATCH($G63,ControlBits_Tb[IR],0),MATCH(M$1,ControlBits_Tb[#Headers],0))</f>
        <v>1</v>
      </c>
      <c r="N63" s="22">
        <f>INDEX(ControlBits_Tb[],MATCH($G63,ControlBits_Tb[IR],0),MATCH(N$1,ControlBits_Tb[#Headers],0))</f>
        <v>0</v>
      </c>
      <c r="O63" s="22">
        <f>INDEX(ControlBits_Tb[],MATCH($G63,ControlBits_Tb[IR],0),MATCH(O$1,ControlBits_Tb[#Headers],0))</f>
        <v>1</v>
      </c>
      <c r="P63" s="22">
        <f>INDEX(ControlBits_Tb[],MATCH($G63,ControlBits_Tb[IR],0),MATCH(P$1,ControlBits_Tb[#Headers],0))</f>
        <v>0</v>
      </c>
      <c r="Q63" s="22">
        <f>INDEX(ControlBits_Tb[],MATCH($G63,ControlBits_Tb[IR],0),MATCH(Q$1,ControlBits_Tb[#Headers],0))</f>
        <v>0</v>
      </c>
      <c r="R63" s="22">
        <f>INDEX(ControlBits_Tb[],MATCH($G63,ControlBits_Tb[IR],0),MATCH(R$1,ControlBits_Tb[#Headers],0))</f>
        <v>0</v>
      </c>
      <c r="S63" s="22">
        <f>INDEX(ControlBits_Tb[],MATCH($G63,ControlBits_Tb[IR],0),MATCH(S$1,ControlBits_Tb[#Headers],0))</f>
        <v>0</v>
      </c>
      <c r="T63" s="22">
        <f>INDEX(ControlBits_Tb[],MATCH($G63,ControlBits_Tb[IR],0),MATCH(T$1,ControlBits_Tb[#Headers],0))</f>
        <v>0</v>
      </c>
      <c r="U63" s="22">
        <f>INDEX(ControlBits_Tb[],MATCH($G63,ControlBits_Tb[IR],0),MATCH(U$1,ControlBits_Tb[#Headers],0))</f>
        <v>0</v>
      </c>
      <c r="V63" s="22">
        <f>INDEX(ControlBits_Tb[],MATCH($G63,ControlBits_Tb[IR],0),MATCH(V$1,ControlBits_Tb[#Headers],0))</f>
        <v>0</v>
      </c>
      <c r="W63" s="22">
        <f>INDEX(ControlBits_Tb[],MATCH($G63,ControlBits_Tb[IR],0),MATCH(W$1,ControlBits_Tb[#Headers],0))</f>
        <v>0</v>
      </c>
      <c r="X63" s="22">
        <f>INDEX(ControlBits_Tb[],MATCH($G63,ControlBits_Tb[IR],0),MATCH(X$1,ControlBits_Tb[#Headers],0))</f>
        <v>0</v>
      </c>
      <c r="Y63" s="22">
        <f>INDEX(ControlBits_Tb[],MATCH($G63,ControlBits_Tb[IR],0),MATCH(Y$1,ControlBits_Tb[#Headers],0))</f>
        <v>0</v>
      </c>
      <c r="Z63" s="22">
        <f>INDEX(ControlBits_Tb[],MATCH($G63,ControlBits_Tb[IR],0),MATCH(Z$1,ControlBits_Tb[#Headers],0))</f>
        <v>0</v>
      </c>
      <c r="AA63" s="22">
        <f>INDEX(ControlBits_Tb[],MATCH($G63,ControlBits_Tb[IR],0),MATCH(AA$1,ControlBits_Tb[#Headers],0))</f>
        <v>0</v>
      </c>
      <c r="AB63" s="22">
        <f>INDEX(ControlBits_Tb[],MATCH($G63,ControlBits_Tb[IR],0),MATCH(AB$1,ControlBits_Tb[#Headers],0))</f>
        <v>0</v>
      </c>
      <c r="AC63" s="22">
        <f>INDEX(ControlBits_Tb[],MATCH($G63,ControlBits_Tb[IR],0),MATCH(AC$1,ControlBits_Tb[#Headers],0))</f>
        <v>0</v>
      </c>
      <c r="AD63" s="22" t="str">
        <f>INDEX(ControlBits_Tb[],MATCH($G63,ControlBits_Tb[IR],0),MATCH(AD$1,ControlBits_Tb[#Headers],0))</f>
        <v>1d4000</v>
      </c>
      <c r="AE63" s="28" t="str">
        <f>Test[[#This Row],[16진수test]]</f>
        <v>1D4000</v>
      </c>
      <c r="AF63" s="29">
        <f t="shared" si="0"/>
        <v>1</v>
      </c>
      <c r="AG63" s="29">
        <f xml:space="preserve"> Test[[#This Row],[state]]</f>
        <v>0</v>
      </c>
      <c r="AH63" s="29">
        <f t="shared" si="1"/>
        <v>1</v>
      </c>
    </row>
    <row r="64" spans="1:36">
      <c r="A64" s="39"/>
      <c r="B64" s="40"/>
      <c r="C64" s="40"/>
      <c r="D64" s="40"/>
      <c r="E64" s="40"/>
      <c r="F64" s="36">
        <v>1</v>
      </c>
      <c r="G64" s="37" t="s">
        <v>137</v>
      </c>
      <c r="H64" s="22">
        <f>INDEX(ControlBits_Tb[],MATCH($G64,ControlBits_Tb[IR],0),MATCH(H$1,ControlBits_Tb[#Headers],0))</f>
        <v>0</v>
      </c>
      <c r="I64" s="22">
        <f>INDEX(ControlBits_Tb[],MATCH($G64,ControlBits_Tb[IR],0),MATCH(I$1,ControlBits_Tb[#Headers],0))</f>
        <v>0</v>
      </c>
      <c r="J64" s="22">
        <f>INDEX(ControlBits_Tb[],MATCH($G64,ControlBits_Tb[IR],0),MATCH(J$1,ControlBits_Tb[#Headers],0))</f>
        <v>0</v>
      </c>
      <c r="K64" s="22">
        <f>INDEX(ControlBits_Tb[],MATCH($G64,ControlBits_Tb[IR],0),MATCH(K$1,ControlBits_Tb[#Headers],0))</f>
        <v>0</v>
      </c>
      <c r="L64" s="22">
        <f>INDEX(ControlBits_Tb[],MATCH($G64,ControlBits_Tb[IR],0),MATCH(L$1,ControlBits_Tb[#Headers],0))</f>
        <v>0</v>
      </c>
      <c r="M64" s="22">
        <f>INDEX(ControlBits_Tb[],MATCH($G64,ControlBits_Tb[IR],0),MATCH(M$1,ControlBits_Tb[#Headers],0))</f>
        <v>0</v>
      </c>
      <c r="N64" s="22">
        <f>INDEX(ControlBits_Tb[],MATCH($G64,ControlBits_Tb[IR],0),MATCH(N$1,ControlBits_Tb[#Headers],0))</f>
        <v>0</v>
      </c>
      <c r="O64" s="22">
        <f>INDEX(ControlBits_Tb[],MATCH($G64,ControlBits_Tb[IR],0),MATCH(O$1,ControlBits_Tb[#Headers],0))</f>
        <v>0</v>
      </c>
      <c r="P64" s="22">
        <f>INDEX(ControlBits_Tb[],MATCH($G64,ControlBits_Tb[IR],0),MATCH(P$1,ControlBits_Tb[#Headers],0))</f>
        <v>0</v>
      </c>
      <c r="Q64" s="22">
        <f>INDEX(ControlBits_Tb[],MATCH($G64,ControlBits_Tb[IR],0),MATCH(Q$1,ControlBits_Tb[#Headers],0))</f>
        <v>0</v>
      </c>
      <c r="R64" s="22">
        <f>INDEX(ControlBits_Tb[],MATCH($G64,ControlBits_Tb[IR],0),MATCH(R$1,ControlBits_Tb[#Headers],0))</f>
        <v>0</v>
      </c>
      <c r="S64" s="22">
        <f>INDEX(ControlBits_Tb[],MATCH($G64,ControlBits_Tb[IR],0),MATCH(S$1,ControlBits_Tb[#Headers],0))</f>
        <v>0</v>
      </c>
      <c r="T64" s="22">
        <f>INDEX(ControlBits_Tb[],MATCH($G64,ControlBits_Tb[IR],0),MATCH(T$1,ControlBits_Tb[#Headers],0))</f>
        <v>0</v>
      </c>
      <c r="U64" s="22">
        <f>INDEX(ControlBits_Tb[],MATCH($G64,ControlBits_Tb[IR],0),MATCH(U$1,ControlBits_Tb[#Headers],0))</f>
        <v>0</v>
      </c>
      <c r="V64" s="22">
        <f>INDEX(ControlBits_Tb[],MATCH($G64,ControlBits_Tb[IR],0),MATCH(V$1,ControlBits_Tb[#Headers],0))</f>
        <v>0</v>
      </c>
      <c r="W64" s="22">
        <f>INDEX(ControlBits_Tb[],MATCH($G64,ControlBits_Tb[IR],0),MATCH(W$1,ControlBits_Tb[#Headers],0))</f>
        <v>0</v>
      </c>
      <c r="X64" s="22">
        <f>INDEX(ControlBits_Tb[],MATCH($G64,ControlBits_Tb[IR],0),MATCH(X$1,ControlBits_Tb[#Headers],0))</f>
        <v>1</v>
      </c>
      <c r="Y64" s="22">
        <f>INDEX(ControlBits_Tb[],MATCH($G64,ControlBits_Tb[IR],0),MATCH(Y$1,ControlBits_Tb[#Headers],0))</f>
        <v>1</v>
      </c>
      <c r="Z64" s="22">
        <f>INDEX(ControlBits_Tb[],MATCH($G64,ControlBits_Tb[IR],0),MATCH(Z$1,ControlBits_Tb[#Headers],0))</f>
        <v>0</v>
      </c>
      <c r="AA64" s="22">
        <f>INDEX(ControlBits_Tb[],MATCH($G64,ControlBits_Tb[IR],0),MATCH(AA$1,ControlBits_Tb[#Headers],0))</f>
        <v>0</v>
      </c>
      <c r="AB64" s="22">
        <f>INDEX(ControlBits_Tb[],MATCH($G64,ControlBits_Tb[IR],0),MATCH(AB$1,ControlBits_Tb[#Headers],0))</f>
        <v>0</v>
      </c>
      <c r="AC64" s="22">
        <f>INDEX(ControlBits_Tb[],MATCH($G64,ControlBits_Tb[IR],0),MATCH(AC$1,ControlBits_Tb[#Headers],0))</f>
        <v>0</v>
      </c>
      <c r="AD64" s="22" t="str">
        <f>INDEX(ControlBits_Tb[],MATCH($G64,ControlBits_Tb[IR],0),MATCH(AD$1,ControlBits_Tb[#Headers],0))</f>
        <v>000030</v>
      </c>
      <c r="AE64" s="28" t="str">
        <f>Test[[#This Row],[16진수test]]</f>
        <v>000030</v>
      </c>
      <c r="AF64" s="29">
        <f t="shared" si="0"/>
        <v>1</v>
      </c>
      <c r="AG64" s="29">
        <f xml:space="preserve"> Test[[#This Row],[state]]</f>
        <v>1</v>
      </c>
      <c r="AH64" s="29">
        <f t="shared" si="1"/>
        <v>1</v>
      </c>
      <c r="AJ64" s="9"/>
    </row>
    <row r="65" spans="1:36">
      <c r="A65" s="39"/>
      <c r="B65" s="40"/>
      <c r="C65" s="40"/>
      <c r="D65" s="40"/>
      <c r="E65" s="40"/>
      <c r="F65" s="36">
        <v>7</v>
      </c>
      <c r="G65" s="38" t="s">
        <v>129</v>
      </c>
      <c r="H65" s="22">
        <f>INDEX(ControlBits_Tb[],MATCH($G65,ControlBits_Tb[IR],0),MATCH(H$1,ControlBits_Tb[#Headers],0))</f>
        <v>0</v>
      </c>
      <c r="I65" s="22">
        <f>INDEX(ControlBits_Tb[],MATCH($G65,ControlBits_Tb[IR],0),MATCH(I$1,ControlBits_Tb[#Headers],0))</f>
        <v>0</v>
      </c>
      <c r="J65" s="22">
        <f>INDEX(ControlBits_Tb[],MATCH($G65,ControlBits_Tb[IR],0),MATCH(J$1,ControlBits_Tb[#Headers],0))</f>
        <v>0</v>
      </c>
      <c r="K65" s="22">
        <f>INDEX(ControlBits_Tb[],MATCH($G65,ControlBits_Tb[IR],0),MATCH(K$1,ControlBits_Tb[#Headers],0))</f>
        <v>0</v>
      </c>
      <c r="L65" s="22">
        <f>INDEX(ControlBits_Tb[],MATCH($G65,ControlBits_Tb[IR],0),MATCH(L$1,ControlBits_Tb[#Headers],0))</f>
        <v>0</v>
      </c>
      <c r="M65" s="22">
        <f>INDEX(ControlBits_Tb[],MATCH($G65,ControlBits_Tb[IR],0),MATCH(M$1,ControlBits_Tb[#Headers],0))</f>
        <v>0</v>
      </c>
      <c r="N65" s="22">
        <f>INDEX(ControlBits_Tb[],MATCH($G65,ControlBits_Tb[IR],0),MATCH(N$1,ControlBits_Tb[#Headers],0))</f>
        <v>0</v>
      </c>
      <c r="O65" s="22">
        <f>INDEX(ControlBits_Tb[],MATCH($G65,ControlBits_Tb[IR],0),MATCH(O$1,ControlBits_Tb[#Headers],0))</f>
        <v>0</v>
      </c>
      <c r="P65" s="22">
        <f>INDEX(ControlBits_Tb[],MATCH($G65,ControlBits_Tb[IR],0),MATCH(P$1,ControlBits_Tb[#Headers],0))</f>
        <v>0</v>
      </c>
      <c r="Q65" s="22">
        <f>INDEX(ControlBits_Tb[],MATCH($G65,ControlBits_Tb[IR],0),MATCH(Q$1,ControlBits_Tb[#Headers],0))</f>
        <v>0</v>
      </c>
      <c r="R65" s="22">
        <f>INDEX(ControlBits_Tb[],MATCH($G65,ControlBits_Tb[IR],0),MATCH(R$1,ControlBits_Tb[#Headers],0))</f>
        <v>0</v>
      </c>
      <c r="S65" s="22">
        <f>INDEX(ControlBits_Tb[],MATCH($G65,ControlBits_Tb[IR],0),MATCH(S$1,ControlBits_Tb[#Headers],0))</f>
        <v>0</v>
      </c>
      <c r="T65" s="22">
        <f>INDEX(ControlBits_Tb[],MATCH($G65,ControlBits_Tb[IR],0),MATCH(T$1,ControlBits_Tb[#Headers],0))</f>
        <v>0</v>
      </c>
      <c r="U65" s="22">
        <f>INDEX(ControlBits_Tb[],MATCH($G65,ControlBits_Tb[IR],0),MATCH(U$1,ControlBits_Tb[#Headers],0))</f>
        <v>0</v>
      </c>
      <c r="V65" s="22">
        <f>INDEX(ControlBits_Tb[],MATCH($G65,ControlBits_Tb[IR],0),MATCH(V$1,ControlBits_Tb[#Headers],0))</f>
        <v>0</v>
      </c>
      <c r="W65" s="22">
        <f>INDEX(ControlBits_Tb[],MATCH($G65,ControlBits_Tb[IR],0),MATCH(W$1,ControlBits_Tb[#Headers],0))</f>
        <v>1</v>
      </c>
      <c r="X65" s="22">
        <f>INDEX(ControlBits_Tb[],MATCH($G65,ControlBits_Tb[IR],0),MATCH(X$1,ControlBits_Tb[#Headers],0))</f>
        <v>1</v>
      </c>
      <c r="Y65" s="22">
        <f>INDEX(ControlBits_Tb[],MATCH($G65,ControlBits_Tb[IR],0),MATCH(Y$1,ControlBits_Tb[#Headers],0))</f>
        <v>0</v>
      </c>
      <c r="Z65" s="22">
        <f>INDEX(ControlBits_Tb[],MATCH($G65,ControlBits_Tb[IR],0),MATCH(Z$1,ControlBits_Tb[#Headers],0))</f>
        <v>0</v>
      </c>
      <c r="AA65" s="22">
        <f>INDEX(ControlBits_Tb[],MATCH($G65,ControlBits_Tb[IR],0),MATCH(AA$1,ControlBits_Tb[#Headers],0))</f>
        <v>0</v>
      </c>
      <c r="AB65" s="22">
        <f>INDEX(ControlBits_Tb[],MATCH($G65,ControlBits_Tb[IR],0),MATCH(AB$1,ControlBits_Tb[#Headers],0))</f>
        <v>0</v>
      </c>
      <c r="AC65" s="22">
        <f>INDEX(ControlBits_Tb[],MATCH($G65,ControlBits_Tb[IR],0),MATCH(AC$1,ControlBits_Tb[#Headers],0))</f>
        <v>0</v>
      </c>
      <c r="AD65" s="22" t="str">
        <f>INDEX(ControlBits_Tb[],MATCH($G65,ControlBits_Tb[IR],0),MATCH(AD$1,ControlBits_Tb[#Headers],0))</f>
        <v>000060</v>
      </c>
      <c r="AE65" s="28" t="str">
        <f>Test[[#This Row],[16진수test]]</f>
        <v>000060</v>
      </c>
      <c r="AF65" s="29">
        <f t="shared" ref="AF65:AF101" si="2">IF(AD65=AE65,1,0)</f>
        <v>1</v>
      </c>
      <c r="AG65" s="29">
        <f xml:space="preserve"> Test[[#This Row],[state]]</f>
        <v>7</v>
      </c>
      <c r="AH65" s="29">
        <f t="shared" si="1"/>
        <v>1</v>
      </c>
    </row>
    <row r="66" spans="1:36">
      <c r="A66" s="39"/>
      <c r="B66" s="40"/>
      <c r="C66" s="40"/>
      <c r="D66" s="40"/>
      <c r="E66" s="40"/>
      <c r="F66" s="36">
        <v>8</v>
      </c>
      <c r="G66" s="38" t="s">
        <v>169</v>
      </c>
      <c r="H66" s="22">
        <f>INDEX(ControlBits_Tb[],MATCH($G66,ControlBits_Tb[IR],0),MATCH(H$1,ControlBits_Tb[#Headers],0))</f>
        <v>0</v>
      </c>
      <c r="I66" s="22">
        <f>INDEX(ControlBits_Tb[],MATCH($G66,ControlBits_Tb[IR],0),MATCH(I$1,ControlBits_Tb[#Headers],0))</f>
        <v>0</v>
      </c>
      <c r="J66" s="22">
        <f>INDEX(ControlBits_Tb[],MATCH($G66,ControlBits_Tb[IR],0),MATCH(J$1,ControlBits_Tb[#Headers],0))</f>
        <v>0</v>
      </c>
      <c r="K66" s="22">
        <f>INDEX(ControlBits_Tb[],MATCH($G66,ControlBits_Tb[IR],0),MATCH(K$1,ControlBits_Tb[#Headers],0))</f>
        <v>0</v>
      </c>
      <c r="L66" s="22">
        <f>INDEX(ControlBits_Tb[],MATCH($G66,ControlBits_Tb[IR],0),MATCH(L$1,ControlBits_Tb[#Headers],0))</f>
        <v>0</v>
      </c>
      <c r="M66" s="22">
        <f>INDEX(ControlBits_Tb[],MATCH($G66,ControlBits_Tb[IR],0),MATCH(M$1,ControlBits_Tb[#Headers],0))</f>
        <v>0</v>
      </c>
      <c r="N66" s="22">
        <f>INDEX(ControlBits_Tb[],MATCH($G66,ControlBits_Tb[IR],0),MATCH(N$1,ControlBits_Tb[#Headers],0))</f>
        <v>0</v>
      </c>
      <c r="O66" s="22">
        <f>INDEX(ControlBits_Tb[],MATCH($G66,ControlBits_Tb[IR],0),MATCH(O$1,ControlBits_Tb[#Headers],0))</f>
        <v>0</v>
      </c>
      <c r="P66" s="22">
        <f>INDEX(ControlBits_Tb[],MATCH($G66,ControlBits_Tb[IR],0),MATCH(P$1,ControlBits_Tb[#Headers],0))</f>
        <v>1</v>
      </c>
      <c r="Q66" s="22">
        <f>INDEX(ControlBits_Tb[],MATCH($G66,ControlBits_Tb[IR],0),MATCH(Q$1,ControlBits_Tb[#Headers],0))</f>
        <v>0</v>
      </c>
      <c r="R66" s="22">
        <f>INDEX(ControlBits_Tb[],MATCH($G66,ControlBits_Tb[IR],0),MATCH(R$1,ControlBits_Tb[#Headers],0))</f>
        <v>0</v>
      </c>
      <c r="S66" s="22">
        <f>INDEX(ControlBits_Tb[],MATCH($G66,ControlBits_Tb[IR],0),MATCH(S$1,ControlBits_Tb[#Headers],0))</f>
        <v>1</v>
      </c>
      <c r="T66" s="22">
        <f>INDEX(ControlBits_Tb[],MATCH($G66,ControlBits_Tb[IR],0),MATCH(T$1,ControlBits_Tb[#Headers],0))</f>
        <v>0</v>
      </c>
      <c r="U66" s="22">
        <f>INDEX(ControlBits_Tb[],MATCH($G66,ControlBits_Tb[IR],0),MATCH(U$1,ControlBits_Tb[#Headers],0))</f>
        <v>0</v>
      </c>
      <c r="V66" s="22">
        <f>INDEX(ControlBits_Tb[],MATCH($G66,ControlBits_Tb[IR],0),MATCH(V$1,ControlBits_Tb[#Headers],0))</f>
        <v>0</v>
      </c>
      <c r="W66" s="22">
        <f>INDEX(ControlBits_Tb[],MATCH($G66,ControlBits_Tb[IR],0),MATCH(W$1,ControlBits_Tb[#Headers],0))</f>
        <v>0</v>
      </c>
      <c r="X66" s="22">
        <f>INDEX(ControlBits_Tb[],MATCH($G66,ControlBits_Tb[IR],0),MATCH(X$1,ControlBits_Tb[#Headers],0))</f>
        <v>0</v>
      </c>
      <c r="Y66" s="22">
        <f>INDEX(ControlBits_Tb[],MATCH($G66,ControlBits_Tb[IR],0),MATCH(Y$1,ControlBits_Tb[#Headers],0))</f>
        <v>0</v>
      </c>
      <c r="Z66" s="22">
        <f>INDEX(ControlBits_Tb[],MATCH($G66,ControlBits_Tb[IR],0),MATCH(Z$1,ControlBits_Tb[#Headers],0))</f>
        <v>0</v>
      </c>
      <c r="AA66" s="22">
        <f>INDEX(ControlBits_Tb[],MATCH($G66,ControlBits_Tb[IR],0),MATCH(AA$1,ControlBits_Tb[#Headers],0))</f>
        <v>0</v>
      </c>
      <c r="AB66" s="22">
        <f>INDEX(ControlBits_Tb[],MATCH($G66,ControlBits_Tb[IR],0),MATCH(AB$1,ControlBits_Tb[#Headers],0))</f>
        <v>0</v>
      </c>
      <c r="AC66" s="22">
        <f>INDEX(ControlBits_Tb[],MATCH($G66,ControlBits_Tb[IR],0),MATCH(AC$1,ControlBits_Tb[#Headers],0))</f>
        <v>0</v>
      </c>
      <c r="AD66" s="22" t="str">
        <f>INDEX(ControlBits_Tb[],MATCH($G66,ControlBits_Tb[IR],0),MATCH(AD$1,ControlBits_Tb[#Headers],0))</f>
        <v>002400</v>
      </c>
      <c r="AE66" s="28" t="str">
        <f>Test[[#This Row],[16진수test]]</f>
        <v>002400</v>
      </c>
      <c r="AF66" s="29">
        <f t="shared" si="2"/>
        <v>1</v>
      </c>
      <c r="AG66" s="29">
        <f xml:space="preserve"> Test[[#This Row],[state]]</f>
        <v>8</v>
      </c>
      <c r="AH66" s="29">
        <f t="shared" si="1"/>
        <v>1</v>
      </c>
      <c r="AJ66" s="9"/>
    </row>
    <row r="67" spans="1:36">
      <c r="A67" s="39">
        <v>16</v>
      </c>
      <c r="B67" s="40" t="s">
        <v>142</v>
      </c>
      <c r="C67" s="40" t="s">
        <v>87</v>
      </c>
      <c r="D67" s="43" t="s">
        <v>174</v>
      </c>
      <c r="E67" s="40" t="s">
        <v>88</v>
      </c>
      <c r="F67" s="36">
        <v>0</v>
      </c>
      <c r="G67" s="37" t="s">
        <v>26</v>
      </c>
      <c r="H67" s="22">
        <f>INDEX(ControlBits_Tb[],MATCH($G67,ControlBits_Tb[IR],0),MATCH(H$1,ControlBits_Tb[#Headers],0))</f>
        <v>0</v>
      </c>
      <c r="I67" s="22">
        <f>INDEX(ControlBits_Tb[],MATCH($G67,ControlBits_Tb[IR],0),MATCH(I$1,ControlBits_Tb[#Headers],0))</f>
        <v>1</v>
      </c>
      <c r="J67" s="22">
        <f>INDEX(ControlBits_Tb[],MATCH($G67,ControlBits_Tb[IR],0),MATCH(J$1,ControlBits_Tb[#Headers],0))</f>
        <v>1</v>
      </c>
      <c r="K67" s="22">
        <f>INDEX(ControlBits_Tb[],MATCH($G67,ControlBits_Tb[IR],0),MATCH(K$1,ControlBits_Tb[#Headers],0))</f>
        <v>1</v>
      </c>
      <c r="L67" s="22">
        <f>INDEX(ControlBits_Tb[],MATCH($G67,ControlBits_Tb[IR],0),MATCH(L$1,ControlBits_Tb[#Headers],0))</f>
        <v>0</v>
      </c>
      <c r="M67" s="22">
        <f>INDEX(ControlBits_Tb[],MATCH($G67,ControlBits_Tb[IR],0),MATCH(M$1,ControlBits_Tb[#Headers],0))</f>
        <v>1</v>
      </c>
      <c r="N67" s="22">
        <f>INDEX(ControlBits_Tb[],MATCH($G67,ControlBits_Tb[IR],0),MATCH(N$1,ControlBits_Tb[#Headers],0))</f>
        <v>0</v>
      </c>
      <c r="O67" s="22">
        <f>INDEX(ControlBits_Tb[],MATCH($G67,ControlBits_Tb[IR],0),MATCH(O$1,ControlBits_Tb[#Headers],0))</f>
        <v>1</v>
      </c>
      <c r="P67" s="22">
        <f>INDEX(ControlBits_Tb[],MATCH($G67,ControlBits_Tb[IR],0),MATCH(P$1,ControlBits_Tb[#Headers],0))</f>
        <v>0</v>
      </c>
      <c r="Q67" s="22">
        <f>INDEX(ControlBits_Tb[],MATCH($G67,ControlBits_Tb[IR],0),MATCH(Q$1,ControlBits_Tb[#Headers],0))</f>
        <v>0</v>
      </c>
      <c r="R67" s="22">
        <f>INDEX(ControlBits_Tb[],MATCH($G67,ControlBits_Tb[IR],0),MATCH(R$1,ControlBits_Tb[#Headers],0))</f>
        <v>0</v>
      </c>
      <c r="S67" s="22">
        <f>INDEX(ControlBits_Tb[],MATCH($G67,ControlBits_Tb[IR],0),MATCH(S$1,ControlBits_Tb[#Headers],0))</f>
        <v>0</v>
      </c>
      <c r="T67" s="22">
        <f>INDEX(ControlBits_Tb[],MATCH($G67,ControlBits_Tb[IR],0),MATCH(T$1,ControlBits_Tb[#Headers],0))</f>
        <v>0</v>
      </c>
      <c r="U67" s="22">
        <f>INDEX(ControlBits_Tb[],MATCH($G67,ControlBits_Tb[IR],0),MATCH(U$1,ControlBits_Tb[#Headers],0))</f>
        <v>0</v>
      </c>
      <c r="V67" s="22">
        <f>INDEX(ControlBits_Tb[],MATCH($G67,ControlBits_Tb[IR],0),MATCH(V$1,ControlBits_Tb[#Headers],0))</f>
        <v>0</v>
      </c>
      <c r="W67" s="22">
        <f>INDEX(ControlBits_Tb[],MATCH($G67,ControlBits_Tb[IR],0),MATCH(W$1,ControlBits_Tb[#Headers],0))</f>
        <v>0</v>
      </c>
      <c r="X67" s="22">
        <f>INDEX(ControlBits_Tb[],MATCH($G67,ControlBits_Tb[IR],0),MATCH(X$1,ControlBits_Tb[#Headers],0))</f>
        <v>0</v>
      </c>
      <c r="Y67" s="22">
        <f>INDEX(ControlBits_Tb[],MATCH($G67,ControlBits_Tb[IR],0),MATCH(Y$1,ControlBits_Tb[#Headers],0))</f>
        <v>0</v>
      </c>
      <c r="Z67" s="22">
        <f>INDEX(ControlBits_Tb[],MATCH($G67,ControlBits_Tb[IR],0),MATCH(Z$1,ControlBits_Tb[#Headers],0))</f>
        <v>0</v>
      </c>
      <c r="AA67" s="22">
        <f>INDEX(ControlBits_Tb[],MATCH($G67,ControlBits_Tb[IR],0),MATCH(AA$1,ControlBits_Tb[#Headers],0))</f>
        <v>0</v>
      </c>
      <c r="AB67" s="22">
        <f>INDEX(ControlBits_Tb[],MATCH($G67,ControlBits_Tb[IR],0),MATCH(AB$1,ControlBits_Tb[#Headers],0))</f>
        <v>0</v>
      </c>
      <c r="AC67" s="22">
        <f>INDEX(ControlBits_Tb[],MATCH($G67,ControlBits_Tb[IR],0),MATCH(AC$1,ControlBits_Tb[#Headers],0))</f>
        <v>0</v>
      </c>
      <c r="AD67" s="22" t="str">
        <f>INDEX(ControlBits_Tb[],MATCH($G67,ControlBits_Tb[IR],0),MATCH(AD$1,ControlBits_Tb[#Headers],0))</f>
        <v>1d4000</v>
      </c>
      <c r="AE67" s="28" t="str">
        <f>Test[[#This Row],[16진수test]]</f>
        <v>1D4000</v>
      </c>
      <c r="AF67" s="29">
        <f t="shared" si="2"/>
        <v>1</v>
      </c>
      <c r="AG67" s="29">
        <f xml:space="preserve"> Test[[#This Row],[state]]</f>
        <v>0</v>
      </c>
      <c r="AH67" s="29">
        <f t="shared" si="1"/>
        <v>1</v>
      </c>
      <c r="AJ67" s="9"/>
    </row>
    <row r="68" spans="1:36">
      <c r="A68" s="39"/>
      <c r="B68" s="40"/>
      <c r="C68" s="40"/>
      <c r="D68" s="43"/>
      <c r="E68" s="40"/>
      <c r="F68" s="36">
        <v>1</v>
      </c>
      <c r="G68" s="37" t="s">
        <v>137</v>
      </c>
      <c r="H68" s="22">
        <f>INDEX(ControlBits_Tb[],MATCH($G68,ControlBits_Tb[IR],0),MATCH(H$1,ControlBits_Tb[#Headers],0))</f>
        <v>0</v>
      </c>
      <c r="I68" s="22">
        <f>INDEX(ControlBits_Tb[],MATCH($G68,ControlBits_Tb[IR],0),MATCH(I$1,ControlBits_Tb[#Headers],0))</f>
        <v>0</v>
      </c>
      <c r="J68" s="22">
        <f>INDEX(ControlBits_Tb[],MATCH($G68,ControlBits_Tb[IR],0),MATCH(J$1,ControlBits_Tb[#Headers],0))</f>
        <v>0</v>
      </c>
      <c r="K68" s="22">
        <f>INDEX(ControlBits_Tb[],MATCH($G68,ControlBits_Tb[IR],0),MATCH(K$1,ControlBits_Tb[#Headers],0))</f>
        <v>0</v>
      </c>
      <c r="L68" s="22">
        <f>INDEX(ControlBits_Tb[],MATCH($G68,ControlBits_Tb[IR],0),MATCH(L$1,ControlBits_Tb[#Headers],0))</f>
        <v>0</v>
      </c>
      <c r="M68" s="22">
        <f>INDEX(ControlBits_Tb[],MATCH($G68,ControlBits_Tb[IR],0),MATCH(M$1,ControlBits_Tb[#Headers],0))</f>
        <v>0</v>
      </c>
      <c r="N68" s="22">
        <f>INDEX(ControlBits_Tb[],MATCH($G68,ControlBits_Tb[IR],0),MATCH(N$1,ControlBits_Tb[#Headers],0))</f>
        <v>0</v>
      </c>
      <c r="O68" s="22">
        <f>INDEX(ControlBits_Tb[],MATCH($G68,ControlBits_Tb[IR],0),MATCH(O$1,ControlBits_Tb[#Headers],0))</f>
        <v>0</v>
      </c>
      <c r="P68" s="22">
        <f>INDEX(ControlBits_Tb[],MATCH($G68,ControlBits_Tb[IR],0),MATCH(P$1,ControlBits_Tb[#Headers],0))</f>
        <v>0</v>
      </c>
      <c r="Q68" s="22">
        <f>INDEX(ControlBits_Tb[],MATCH($G68,ControlBits_Tb[IR],0),MATCH(Q$1,ControlBits_Tb[#Headers],0))</f>
        <v>0</v>
      </c>
      <c r="R68" s="22">
        <f>INDEX(ControlBits_Tb[],MATCH($G68,ControlBits_Tb[IR],0),MATCH(R$1,ControlBits_Tb[#Headers],0))</f>
        <v>0</v>
      </c>
      <c r="S68" s="22">
        <f>INDEX(ControlBits_Tb[],MATCH($G68,ControlBits_Tb[IR],0),MATCH(S$1,ControlBits_Tb[#Headers],0))</f>
        <v>0</v>
      </c>
      <c r="T68" s="22">
        <f>INDEX(ControlBits_Tb[],MATCH($G68,ControlBits_Tb[IR],0),MATCH(T$1,ControlBits_Tb[#Headers],0))</f>
        <v>0</v>
      </c>
      <c r="U68" s="22">
        <f>INDEX(ControlBits_Tb[],MATCH($G68,ControlBits_Tb[IR],0),MATCH(U$1,ControlBits_Tb[#Headers],0))</f>
        <v>0</v>
      </c>
      <c r="V68" s="22">
        <f>INDEX(ControlBits_Tb[],MATCH($G68,ControlBits_Tb[IR],0),MATCH(V$1,ControlBits_Tb[#Headers],0))</f>
        <v>0</v>
      </c>
      <c r="W68" s="22">
        <f>INDEX(ControlBits_Tb[],MATCH($G68,ControlBits_Tb[IR],0),MATCH(W$1,ControlBits_Tb[#Headers],0))</f>
        <v>0</v>
      </c>
      <c r="X68" s="22">
        <f>INDEX(ControlBits_Tb[],MATCH($G68,ControlBits_Tb[IR],0),MATCH(X$1,ControlBits_Tb[#Headers],0))</f>
        <v>1</v>
      </c>
      <c r="Y68" s="22">
        <f>INDEX(ControlBits_Tb[],MATCH($G68,ControlBits_Tb[IR],0),MATCH(Y$1,ControlBits_Tb[#Headers],0))</f>
        <v>1</v>
      </c>
      <c r="Z68" s="22">
        <f>INDEX(ControlBits_Tb[],MATCH($G68,ControlBits_Tb[IR],0),MATCH(Z$1,ControlBits_Tb[#Headers],0))</f>
        <v>0</v>
      </c>
      <c r="AA68" s="22">
        <f>INDEX(ControlBits_Tb[],MATCH($G68,ControlBits_Tb[IR],0),MATCH(AA$1,ControlBits_Tb[#Headers],0))</f>
        <v>0</v>
      </c>
      <c r="AB68" s="22">
        <f>INDEX(ControlBits_Tb[],MATCH($G68,ControlBits_Tb[IR],0),MATCH(AB$1,ControlBits_Tb[#Headers],0))</f>
        <v>0</v>
      </c>
      <c r="AC68" s="22">
        <f>INDEX(ControlBits_Tb[],MATCH($G68,ControlBits_Tb[IR],0),MATCH(AC$1,ControlBits_Tb[#Headers],0))</f>
        <v>0</v>
      </c>
      <c r="AD68" s="22" t="str">
        <f>INDEX(ControlBits_Tb[],MATCH($G68,ControlBits_Tb[IR],0),MATCH(AD$1,ControlBits_Tb[#Headers],0))</f>
        <v>000030</v>
      </c>
      <c r="AE68" s="28" t="str">
        <f>Test[[#This Row],[16진수test]]</f>
        <v>000030</v>
      </c>
      <c r="AF68" s="29">
        <f t="shared" si="2"/>
        <v>1</v>
      </c>
      <c r="AG68" s="29">
        <f xml:space="preserve"> Test[[#This Row],[state]]</f>
        <v>1</v>
      </c>
      <c r="AH68" s="29">
        <f t="shared" ref="AH68:AH101" si="3">IF(F68=AG68,1,0)</f>
        <v>1</v>
      </c>
      <c r="AJ68" s="9"/>
    </row>
    <row r="69" spans="1:36">
      <c r="A69" s="39"/>
      <c r="B69" s="40"/>
      <c r="C69" s="40"/>
      <c r="D69" s="43"/>
      <c r="E69" s="40"/>
      <c r="F69" s="36">
        <v>7</v>
      </c>
      <c r="G69" s="38" t="s">
        <v>142</v>
      </c>
      <c r="H69" s="22">
        <f>INDEX(ControlBits_Tb[],MATCH($G69,ControlBits_Tb[IR],0),MATCH(H$1,ControlBits_Tb[#Headers],0))</f>
        <v>0</v>
      </c>
      <c r="I69" s="22">
        <f>INDEX(ControlBits_Tb[],MATCH($G69,ControlBits_Tb[IR],0),MATCH(I$1,ControlBits_Tb[#Headers],0))</f>
        <v>0</v>
      </c>
      <c r="J69" s="22">
        <f>INDEX(ControlBits_Tb[],MATCH($G69,ControlBits_Tb[IR],0),MATCH(J$1,ControlBits_Tb[#Headers],0))</f>
        <v>0</v>
      </c>
      <c r="K69" s="22">
        <f>INDEX(ControlBits_Tb[],MATCH($G69,ControlBits_Tb[IR],0),MATCH(K$1,ControlBits_Tb[#Headers],0))</f>
        <v>0</v>
      </c>
      <c r="L69" s="22">
        <f>INDEX(ControlBits_Tb[],MATCH($G69,ControlBits_Tb[IR],0),MATCH(L$1,ControlBits_Tb[#Headers],0))</f>
        <v>0</v>
      </c>
      <c r="M69" s="22">
        <f>INDEX(ControlBits_Tb[],MATCH($G69,ControlBits_Tb[IR],0),MATCH(M$1,ControlBits_Tb[#Headers],0))</f>
        <v>0</v>
      </c>
      <c r="N69" s="22">
        <f>INDEX(ControlBits_Tb[],MATCH($G69,ControlBits_Tb[IR],0),MATCH(N$1,ControlBits_Tb[#Headers],0))</f>
        <v>0</v>
      </c>
      <c r="O69" s="22">
        <f>INDEX(ControlBits_Tb[],MATCH($G69,ControlBits_Tb[IR],0),MATCH(O$1,ControlBits_Tb[#Headers],0))</f>
        <v>0</v>
      </c>
      <c r="P69" s="22">
        <f>INDEX(ControlBits_Tb[],MATCH($G69,ControlBits_Tb[IR],0),MATCH(P$1,ControlBits_Tb[#Headers],0))</f>
        <v>0</v>
      </c>
      <c r="Q69" s="22">
        <f>INDEX(ControlBits_Tb[],MATCH($G69,ControlBits_Tb[IR],0),MATCH(Q$1,ControlBits_Tb[#Headers],0))</f>
        <v>0</v>
      </c>
      <c r="R69" s="22">
        <f>INDEX(ControlBits_Tb[],MATCH($G69,ControlBits_Tb[IR],0),MATCH(R$1,ControlBits_Tb[#Headers],0))</f>
        <v>0</v>
      </c>
      <c r="S69" s="22">
        <f>INDEX(ControlBits_Tb[],MATCH($G69,ControlBits_Tb[IR],0),MATCH(S$1,ControlBits_Tb[#Headers],0))</f>
        <v>0</v>
      </c>
      <c r="T69" s="22">
        <f>INDEX(ControlBits_Tb[],MATCH($G69,ControlBits_Tb[IR],0),MATCH(T$1,ControlBits_Tb[#Headers],0))</f>
        <v>0</v>
      </c>
      <c r="U69" s="22">
        <f>INDEX(ControlBits_Tb[],MATCH($G69,ControlBits_Tb[IR],0),MATCH(U$1,ControlBits_Tb[#Headers],0))</f>
        <v>0</v>
      </c>
      <c r="V69" s="22">
        <f>INDEX(ControlBits_Tb[],MATCH($G69,ControlBits_Tb[IR],0),MATCH(V$1,ControlBits_Tb[#Headers],0))</f>
        <v>0</v>
      </c>
      <c r="W69" s="22">
        <f>INDEX(ControlBits_Tb[],MATCH($G69,ControlBits_Tb[IR],0),MATCH(W$1,ControlBits_Tb[#Headers],0))</f>
        <v>1</v>
      </c>
      <c r="X69" s="22">
        <f>INDEX(ControlBits_Tb[],MATCH($G69,ControlBits_Tb[IR],0),MATCH(X$1,ControlBits_Tb[#Headers],0))</f>
        <v>1</v>
      </c>
      <c r="Y69" s="22">
        <f>INDEX(ControlBits_Tb[],MATCH($G69,ControlBits_Tb[IR],0),MATCH(Y$1,ControlBits_Tb[#Headers],0))</f>
        <v>0</v>
      </c>
      <c r="Z69" s="22">
        <f>INDEX(ControlBits_Tb[],MATCH($G69,ControlBits_Tb[IR],0),MATCH(Z$1,ControlBits_Tb[#Headers],0))</f>
        <v>0</v>
      </c>
      <c r="AA69" s="22">
        <f>INDEX(ControlBits_Tb[],MATCH($G69,ControlBits_Tb[IR],0),MATCH(AA$1,ControlBits_Tb[#Headers],0))</f>
        <v>1</v>
      </c>
      <c r="AB69" s="22">
        <f>INDEX(ControlBits_Tb[],MATCH($G69,ControlBits_Tb[IR],0),MATCH(AB$1,ControlBits_Tb[#Headers],0))</f>
        <v>0</v>
      </c>
      <c r="AC69" s="22">
        <f>INDEX(ControlBits_Tb[],MATCH($G69,ControlBits_Tb[IR],0),MATCH(AC$1,ControlBits_Tb[#Headers],0))</f>
        <v>0</v>
      </c>
      <c r="AD69" s="22" t="str">
        <f>INDEX(ControlBits_Tb[],MATCH($G69,ControlBits_Tb[IR],0),MATCH(AD$1,ControlBits_Tb[#Headers],0))</f>
        <v>000064</v>
      </c>
      <c r="AE69" s="28" t="str">
        <f>Test[[#This Row],[16진수test]]</f>
        <v>000064</v>
      </c>
      <c r="AF69" s="29">
        <f t="shared" si="2"/>
        <v>1</v>
      </c>
      <c r="AG69" s="29">
        <f xml:space="preserve"> Test[[#This Row],[state]]</f>
        <v>7</v>
      </c>
      <c r="AH69" s="29">
        <f t="shared" si="3"/>
        <v>1</v>
      </c>
      <c r="AJ69" s="9"/>
    </row>
    <row r="70" spans="1:36">
      <c r="A70" s="39"/>
      <c r="B70" s="40"/>
      <c r="C70" s="40"/>
      <c r="D70" s="43"/>
      <c r="E70" s="40"/>
      <c r="F70" s="36">
        <v>8</v>
      </c>
      <c r="G70" s="38" t="s">
        <v>169</v>
      </c>
      <c r="H70" s="22">
        <f>INDEX(ControlBits_Tb[],MATCH($G70,ControlBits_Tb[IR],0),MATCH(H$1,ControlBits_Tb[#Headers],0))</f>
        <v>0</v>
      </c>
      <c r="I70" s="22">
        <f>INDEX(ControlBits_Tb[],MATCH($G70,ControlBits_Tb[IR],0),MATCH(I$1,ControlBits_Tb[#Headers],0))</f>
        <v>0</v>
      </c>
      <c r="J70" s="22">
        <f>INDEX(ControlBits_Tb[],MATCH($G70,ControlBits_Tb[IR],0),MATCH(J$1,ControlBits_Tb[#Headers],0))</f>
        <v>0</v>
      </c>
      <c r="K70" s="22">
        <f>INDEX(ControlBits_Tb[],MATCH($G70,ControlBits_Tb[IR],0),MATCH(K$1,ControlBits_Tb[#Headers],0))</f>
        <v>0</v>
      </c>
      <c r="L70" s="22">
        <f>INDEX(ControlBits_Tb[],MATCH($G70,ControlBits_Tb[IR],0),MATCH(L$1,ControlBits_Tb[#Headers],0))</f>
        <v>0</v>
      </c>
      <c r="M70" s="22">
        <f>INDEX(ControlBits_Tb[],MATCH($G70,ControlBits_Tb[IR],0),MATCH(M$1,ControlBits_Tb[#Headers],0))</f>
        <v>0</v>
      </c>
      <c r="N70" s="22">
        <f>INDEX(ControlBits_Tb[],MATCH($G70,ControlBits_Tb[IR],0),MATCH(N$1,ControlBits_Tb[#Headers],0))</f>
        <v>0</v>
      </c>
      <c r="O70" s="22">
        <f>INDEX(ControlBits_Tb[],MATCH($G70,ControlBits_Tb[IR],0),MATCH(O$1,ControlBits_Tb[#Headers],0))</f>
        <v>0</v>
      </c>
      <c r="P70" s="22">
        <f>INDEX(ControlBits_Tb[],MATCH($G70,ControlBits_Tb[IR],0),MATCH(P$1,ControlBits_Tb[#Headers],0))</f>
        <v>1</v>
      </c>
      <c r="Q70" s="22">
        <f>INDEX(ControlBits_Tb[],MATCH($G70,ControlBits_Tb[IR],0),MATCH(Q$1,ControlBits_Tb[#Headers],0))</f>
        <v>0</v>
      </c>
      <c r="R70" s="22">
        <f>INDEX(ControlBits_Tb[],MATCH($G70,ControlBits_Tb[IR],0),MATCH(R$1,ControlBits_Tb[#Headers],0))</f>
        <v>0</v>
      </c>
      <c r="S70" s="22">
        <f>INDEX(ControlBits_Tb[],MATCH($G70,ControlBits_Tb[IR],0),MATCH(S$1,ControlBits_Tb[#Headers],0))</f>
        <v>1</v>
      </c>
      <c r="T70" s="22">
        <f>INDEX(ControlBits_Tb[],MATCH($G70,ControlBits_Tb[IR],0),MATCH(T$1,ControlBits_Tb[#Headers],0))</f>
        <v>0</v>
      </c>
      <c r="U70" s="22">
        <f>INDEX(ControlBits_Tb[],MATCH($G70,ControlBits_Tb[IR],0),MATCH(U$1,ControlBits_Tb[#Headers],0))</f>
        <v>0</v>
      </c>
      <c r="V70" s="22">
        <f>INDEX(ControlBits_Tb[],MATCH($G70,ControlBits_Tb[IR],0),MATCH(V$1,ControlBits_Tb[#Headers],0))</f>
        <v>0</v>
      </c>
      <c r="W70" s="22">
        <f>INDEX(ControlBits_Tb[],MATCH($G70,ControlBits_Tb[IR],0),MATCH(W$1,ControlBits_Tb[#Headers],0))</f>
        <v>0</v>
      </c>
      <c r="X70" s="22">
        <f>INDEX(ControlBits_Tb[],MATCH($G70,ControlBits_Tb[IR],0),MATCH(X$1,ControlBits_Tb[#Headers],0))</f>
        <v>0</v>
      </c>
      <c r="Y70" s="22">
        <f>INDEX(ControlBits_Tb[],MATCH($G70,ControlBits_Tb[IR],0),MATCH(Y$1,ControlBits_Tb[#Headers],0))</f>
        <v>0</v>
      </c>
      <c r="Z70" s="22">
        <f>INDEX(ControlBits_Tb[],MATCH($G70,ControlBits_Tb[IR],0),MATCH(Z$1,ControlBits_Tb[#Headers],0))</f>
        <v>0</v>
      </c>
      <c r="AA70" s="22">
        <f>INDEX(ControlBits_Tb[],MATCH($G70,ControlBits_Tb[IR],0),MATCH(AA$1,ControlBits_Tb[#Headers],0))</f>
        <v>0</v>
      </c>
      <c r="AB70" s="22">
        <f>INDEX(ControlBits_Tb[],MATCH($G70,ControlBits_Tb[IR],0),MATCH(AB$1,ControlBits_Tb[#Headers],0))</f>
        <v>0</v>
      </c>
      <c r="AC70" s="22">
        <f>INDEX(ControlBits_Tb[],MATCH($G70,ControlBits_Tb[IR],0),MATCH(AC$1,ControlBits_Tb[#Headers],0))</f>
        <v>0</v>
      </c>
      <c r="AD70" s="22" t="str">
        <f>INDEX(ControlBits_Tb[],MATCH($G70,ControlBits_Tb[IR],0),MATCH(AD$1,ControlBits_Tb[#Headers],0))</f>
        <v>002400</v>
      </c>
      <c r="AE70" s="28" t="str">
        <f>Test[[#This Row],[16진수test]]</f>
        <v>002400</v>
      </c>
      <c r="AF70" s="29">
        <f t="shared" si="2"/>
        <v>1</v>
      </c>
      <c r="AG70" s="29">
        <f xml:space="preserve"> Test[[#This Row],[state]]</f>
        <v>8</v>
      </c>
      <c r="AH70" s="29">
        <f t="shared" si="3"/>
        <v>1</v>
      </c>
      <c r="AJ70" s="9"/>
    </row>
    <row r="71" spans="1:36">
      <c r="A71" s="39">
        <v>17</v>
      </c>
      <c r="B71" s="40" t="s">
        <v>130</v>
      </c>
      <c r="C71" s="40" t="s">
        <v>87</v>
      </c>
      <c r="D71" s="40" t="s">
        <v>68</v>
      </c>
      <c r="E71" s="40" t="s">
        <v>88</v>
      </c>
      <c r="F71" s="36">
        <v>0</v>
      </c>
      <c r="G71" s="37" t="s">
        <v>26</v>
      </c>
      <c r="H71" s="22">
        <f>INDEX(ControlBits_Tb[],MATCH($G71,ControlBits_Tb[IR],0),MATCH(H$1,ControlBits_Tb[#Headers],0))</f>
        <v>0</v>
      </c>
      <c r="I71" s="22">
        <f>INDEX(ControlBits_Tb[],MATCH($G71,ControlBits_Tb[IR],0),MATCH(I$1,ControlBits_Tb[#Headers],0))</f>
        <v>1</v>
      </c>
      <c r="J71" s="22">
        <f>INDEX(ControlBits_Tb[],MATCH($G71,ControlBits_Tb[IR],0),MATCH(J$1,ControlBits_Tb[#Headers],0))</f>
        <v>1</v>
      </c>
      <c r="K71" s="22">
        <f>INDEX(ControlBits_Tb[],MATCH($G71,ControlBits_Tb[IR],0),MATCH(K$1,ControlBits_Tb[#Headers],0))</f>
        <v>1</v>
      </c>
      <c r="L71" s="22">
        <f>INDEX(ControlBits_Tb[],MATCH($G71,ControlBits_Tb[IR],0),MATCH(L$1,ControlBits_Tb[#Headers],0))</f>
        <v>0</v>
      </c>
      <c r="M71" s="22">
        <f>INDEX(ControlBits_Tb[],MATCH($G71,ControlBits_Tb[IR],0),MATCH(M$1,ControlBits_Tb[#Headers],0))</f>
        <v>1</v>
      </c>
      <c r="N71" s="22">
        <f>INDEX(ControlBits_Tb[],MATCH($G71,ControlBits_Tb[IR],0),MATCH(N$1,ControlBits_Tb[#Headers],0))</f>
        <v>0</v>
      </c>
      <c r="O71" s="22">
        <f>INDEX(ControlBits_Tb[],MATCH($G71,ControlBits_Tb[IR],0),MATCH(O$1,ControlBits_Tb[#Headers],0))</f>
        <v>1</v>
      </c>
      <c r="P71" s="22">
        <f>INDEX(ControlBits_Tb[],MATCH($G71,ControlBits_Tb[IR],0),MATCH(P$1,ControlBits_Tb[#Headers],0))</f>
        <v>0</v>
      </c>
      <c r="Q71" s="22">
        <f>INDEX(ControlBits_Tb[],MATCH($G71,ControlBits_Tb[IR],0),MATCH(Q$1,ControlBits_Tb[#Headers],0))</f>
        <v>0</v>
      </c>
      <c r="R71" s="22">
        <f>INDEX(ControlBits_Tb[],MATCH($G71,ControlBits_Tb[IR],0),MATCH(R$1,ControlBits_Tb[#Headers],0))</f>
        <v>0</v>
      </c>
      <c r="S71" s="22">
        <f>INDEX(ControlBits_Tb[],MATCH($G71,ControlBits_Tb[IR],0),MATCH(S$1,ControlBits_Tb[#Headers],0))</f>
        <v>0</v>
      </c>
      <c r="T71" s="22">
        <f>INDEX(ControlBits_Tb[],MATCH($G71,ControlBits_Tb[IR],0),MATCH(T$1,ControlBits_Tb[#Headers],0))</f>
        <v>0</v>
      </c>
      <c r="U71" s="22">
        <f>INDEX(ControlBits_Tb[],MATCH($G71,ControlBits_Tb[IR],0),MATCH(U$1,ControlBits_Tb[#Headers],0))</f>
        <v>0</v>
      </c>
      <c r="V71" s="22">
        <f>INDEX(ControlBits_Tb[],MATCH($G71,ControlBits_Tb[IR],0),MATCH(V$1,ControlBits_Tb[#Headers],0))</f>
        <v>0</v>
      </c>
      <c r="W71" s="22">
        <f>INDEX(ControlBits_Tb[],MATCH($G71,ControlBits_Tb[IR],0),MATCH(W$1,ControlBits_Tb[#Headers],0))</f>
        <v>0</v>
      </c>
      <c r="X71" s="22">
        <f>INDEX(ControlBits_Tb[],MATCH($G71,ControlBits_Tb[IR],0),MATCH(X$1,ControlBits_Tb[#Headers],0))</f>
        <v>0</v>
      </c>
      <c r="Y71" s="22">
        <f>INDEX(ControlBits_Tb[],MATCH($G71,ControlBits_Tb[IR],0),MATCH(Y$1,ControlBits_Tb[#Headers],0))</f>
        <v>0</v>
      </c>
      <c r="Z71" s="22">
        <f>INDEX(ControlBits_Tb[],MATCH($G71,ControlBits_Tb[IR],0),MATCH(Z$1,ControlBits_Tb[#Headers],0))</f>
        <v>0</v>
      </c>
      <c r="AA71" s="22">
        <f>INDEX(ControlBits_Tb[],MATCH($G71,ControlBits_Tb[IR],0),MATCH(AA$1,ControlBits_Tb[#Headers],0))</f>
        <v>0</v>
      </c>
      <c r="AB71" s="22">
        <f>INDEX(ControlBits_Tb[],MATCH($G71,ControlBits_Tb[IR],0),MATCH(AB$1,ControlBits_Tb[#Headers],0))</f>
        <v>0</v>
      </c>
      <c r="AC71" s="22">
        <f>INDEX(ControlBits_Tb[],MATCH($G71,ControlBits_Tb[IR],0),MATCH(AC$1,ControlBits_Tb[#Headers],0))</f>
        <v>0</v>
      </c>
      <c r="AD71" s="22" t="str">
        <f>INDEX(ControlBits_Tb[],MATCH($G71,ControlBits_Tb[IR],0),MATCH(AD$1,ControlBits_Tb[#Headers],0))</f>
        <v>1d4000</v>
      </c>
      <c r="AE71" s="28" t="str">
        <f>Test[[#This Row],[16진수test]]</f>
        <v>1D4000</v>
      </c>
      <c r="AF71" s="29">
        <f t="shared" si="2"/>
        <v>1</v>
      </c>
      <c r="AG71" s="29">
        <f xml:space="preserve"> Test[[#This Row],[state]]</f>
        <v>0</v>
      </c>
      <c r="AH71" s="29">
        <f t="shared" si="3"/>
        <v>1</v>
      </c>
    </row>
    <row r="72" spans="1:36">
      <c r="A72" s="39"/>
      <c r="B72" s="40"/>
      <c r="C72" s="40"/>
      <c r="D72" s="40"/>
      <c r="E72" s="40"/>
      <c r="F72" s="36">
        <v>1</v>
      </c>
      <c r="G72" s="37" t="s">
        <v>137</v>
      </c>
      <c r="H72" s="22">
        <f>INDEX(ControlBits_Tb[],MATCH($G72,ControlBits_Tb[IR],0),MATCH(H$1,ControlBits_Tb[#Headers],0))</f>
        <v>0</v>
      </c>
      <c r="I72" s="22">
        <f>INDEX(ControlBits_Tb[],MATCH($G72,ControlBits_Tb[IR],0),MATCH(I$1,ControlBits_Tb[#Headers],0))</f>
        <v>0</v>
      </c>
      <c r="J72" s="22">
        <f>INDEX(ControlBits_Tb[],MATCH($G72,ControlBits_Tb[IR],0),MATCH(J$1,ControlBits_Tb[#Headers],0))</f>
        <v>0</v>
      </c>
      <c r="K72" s="22">
        <f>INDEX(ControlBits_Tb[],MATCH($G72,ControlBits_Tb[IR],0),MATCH(K$1,ControlBits_Tb[#Headers],0))</f>
        <v>0</v>
      </c>
      <c r="L72" s="22">
        <f>INDEX(ControlBits_Tb[],MATCH($G72,ControlBits_Tb[IR],0),MATCH(L$1,ControlBits_Tb[#Headers],0))</f>
        <v>0</v>
      </c>
      <c r="M72" s="22">
        <f>INDEX(ControlBits_Tb[],MATCH($G72,ControlBits_Tb[IR],0),MATCH(M$1,ControlBits_Tb[#Headers],0))</f>
        <v>0</v>
      </c>
      <c r="N72" s="22">
        <f>INDEX(ControlBits_Tb[],MATCH($G72,ControlBits_Tb[IR],0),MATCH(N$1,ControlBits_Tb[#Headers],0))</f>
        <v>0</v>
      </c>
      <c r="O72" s="22">
        <f>INDEX(ControlBits_Tb[],MATCH($G72,ControlBits_Tb[IR],0),MATCH(O$1,ControlBits_Tb[#Headers],0))</f>
        <v>0</v>
      </c>
      <c r="P72" s="22">
        <f>INDEX(ControlBits_Tb[],MATCH($G72,ControlBits_Tb[IR],0),MATCH(P$1,ControlBits_Tb[#Headers],0))</f>
        <v>0</v>
      </c>
      <c r="Q72" s="22">
        <f>INDEX(ControlBits_Tb[],MATCH($G72,ControlBits_Tb[IR],0),MATCH(Q$1,ControlBits_Tb[#Headers],0))</f>
        <v>0</v>
      </c>
      <c r="R72" s="22">
        <f>INDEX(ControlBits_Tb[],MATCH($G72,ControlBits_Tb[IR],0),MATCH(R$1,ControlBits_Tb[#Headers],0))</f>
        <v>0</v>
      </c>
      <c r="S72" s="22">
        <f>INDEX(ControlBits_Tb[],MATCH($G72,ControlBits_Tb[IR],0),MATCH(S$1,ControlBits_Tb[#Headers],0))</f>
        <v>0</v>
      </c>
      <c r="T72" s="22">
        <f>INDEX(ControlBits_Tb[],MATCH($G72,ControlBits_Tb[IR],0),MATCH(T$1,ControlBits_Tb[#Headers],0))</f>
        <v>0</v>
      </c>
      <c r="U72" s="22">
        <f>INDEX(ControlBits_Tb[],MATCH($G72,ControlBits_Tb[IR],0),MATCH(U$1,ControlBits_Tb[#Headers],0))</f>
        <v>0</v>
      </c>
      <c r="V72" s="22">
        <f>INDEX(ControlBits_Tb[],MATCH($G72,ControlBits_Tb[IR],0),MATCH(V$1,ControlBits_Tb[#Headers],0))</f>
        <v>0</v>
      </c>
      <c r="W72" s="22">
        <f>INDEX(ControlBits_Tb[],MATCH($G72,ControlBits_Tb[IR],0),MATCH(W$1,ControlBits_Tb[#Headers],0))</f>
        <v>0</v>
      </c>
      <c r="X72" s="22">
        <f>INDEX(ControlBits_Tb[],MATCH($G72,ControlBits_Tb[IR],0),MATCH(X$1,ControlBits_Tb[#Headers],0))</f>
        <v>1</v>
      </c>
      <c r="Y72" s="22">
        <f>INDEX(ControlBits_Tb[],MATCH($G72,ControlBits_Tb[IR],0),MATCH(Y$1,ControlBits_Tb[#Headers],0))</f>
        <v>1</v>
      </c>
      <c r="Z72" s="22">
        <f>INDEX(ControlBits_Tb[],MATCH($G72,ControlBits_Tb[IR],0),MATCH(Z$1,ControlBits_Tb[#Headers],0))</f>
        <v>0</v>
      </c>
      <c r="AA72" s="22">
        <f>INDEX(ControlBits_Tb[],MATCH($G72,ControlBits_Tb[IR],0),MATCH(AA$1,ControlBits_Tb[#Headers],0))</f>
        <v>0</v>
      </c>
      <c r="AB72" s="22">
        <f>INDEX(ControlBits_Tb[],MATCH($G72,ControlBits_Tb[IR],0),MATCH(AB$1,ControlBits_Tb[#Headers],0))</f>
        <v>0</v>
      </c>
      <c r="AC72" s="22">
        <f>INDEX(ControlBits_Tb[],MATCH($G72,ControlBits_Tb[IR],0),MATCH(AC$1,ControlBits_Tb[#Headers],0))</f>
        <v>0</v>
      </c>
      <c r="AD72" s="22" t="str">
        <f>INDEX(ControlBits_Tb[],MATCH($G72,ControlBits_Tb[IR],0),MATCH(AD$1,ControlBits_Tb[#Headers],0))</f>
        <v>000030</v>
      </c>
      <c r="AE72" s="28" t="str">
        <f>Test[[#This Row],[16진수test]]</f>
        <v>000030</v>
      </c>
      <c r="AF72" s="29">
        <f t="shared" si="2"/>
        <v>1</v>
      </c>
      <c r="AG72" s="29">
        <f xml:space="preserve"> Test[[#This Row],[state]]</f>
        <v>1</v>
      </c>
      <c r="AH72" s="29">
        <f t="shared" si="3"/>
        <v>1</v>
      </c>
    </row>
    <row r="73" spans="1:36">
      <c r="A73" s="39"/>
      <c r="B73" s="40"/>
      <c r="C73" s="40"/>
      <c r="D73" s="40"/>
      <c r="E73" s="40"/>
      <c r="F73" s="36">
        <v>7</v>
      </c>
      <c r="G73" s="38" t="s">
        <v>60</v>
      </c>
      <c r="H73" s="22">
        <f>INDEX(ControlBits_Tb[],MATCH($G73,ControlBits_Tb[IR],0),MATCH(H$1,ControlBits_Tb[#Headers],0))</f>
        <v>0</v>
      </c>
      <c r="I73" s="22">
        <f>INDEX(ControlBits_Tb[],MATCH($G73,ControlBits_Tb[IR],0),MATCH(I$1,ControlBits_Tb[#Headers],0))</f>
        <v>0</v>
      </c>
      <c r="J73" s="22">
        <f>INDEX(ControlBits_Tb[],MATCH($G73,ControlBits_Tb[IR],0),MATCH(J$1,ControlBits_Tb[#Headers],0))</f>
        <v>0</v>
      </c>
      <c r="K73" s="22">
        <f>INDEX(ControlBits_Tb[],MATCH($G73,ControlBits_Tb[IR],0),MATCH(K$1,ControlBits_Tb[#Headers],0))</f>
        <v>0</v>
      </c>
      <c r="L73" s="22">
        <f>INDEX(ControlBits_Tb[],MATCH($G73,ControlBits_Tb[IR],0),MATCH(L$1,ControlBits_Tb[#Headers],0))</f>
        <v>0</v>
      </c>
      <c r="M73" s="22">
        <f>INDEX(ControlBits_Tb[],MATCH($G73,ControlBits_Tb[IR],0),MATCH(M$1,ControlBits_Tb[#Headers],0))</f>
        <v>0</v>
      </c>
      <c r="N73" s="22">
        <f>INDEX(ControlBits_Tb[],MATCH($G73,ControlBits_Tb[IR],0),MATCH(N$1,ControlBits_Tb[#Headers],0))</f>
        <v>0</v>
      </c>
      <c r="O73" s="22">
        <f>INDEX(ControlBits_Tb[],MATCH($G73,ControlBits_Tb[IR],0),MATCH(O$1,ControlBits_Tb[#Headers],0))</f>
        <v>0</v>
      </c>
      <c r="P73" s="22">
        <f>INDEX(ControlBits_Tb[],MATCH($G73,ControlBits_Tb[IR],0),MATCH(P$1,ControlBits_Tb[#Headers],0))</f>
        <v>0</v>
      </c>
      <c r="Q73" s="22">
        <f>INDEX(ControlBits_Tb[],MATCH($G73,ControlBits_Tb[IR],0),MATCH(Q$1,ControlBits_Tb[#Headers],0))</f>
        <v>0</v>
      </c>
      <c r="R73" s="22">
        <f>INDEX(ControlBits_Tb[],MATCH($G73,ControlBits_Tb[IR],0),MATCH(R$1,ControlBits_Tb[#Headers],0))</f>
        <v>0</v>
      </c>
      <c r="S73" s="22">
        <f>INDEX(ControlBits_Tb[],MATCH($G73,ControlBits_Tb[IR],0),MATCH(S$1,ControlBits_Tb[#Headers],0))</f>
        <v>0</v>
      </c>
      <c r="T73" s="22">
        <f>INDEX(ControlBits_Tb[],MATCH($G73,ControlBits_Tb[IR],0),MATCH(T$1,ControlBits_Tb[#Headers],0))</f>
        <v>0</v>
      </c>
      <c r="U73" s="22">
        <f>INDEX(ControlBits_Tb[],MATCH($G73,ControlBits_Tb[IR],0),MATCH(U$1,ControlBits_Tb[#Headers],0))</f>
        <v>0</v>
      </c>
      <c r="V73" s="22">
        <f>INDEX(ControlBits_Tb[],MATCH($G73,ControlBits_Tb[IR],0),MATCH(V$1,ControlBits_Tb[#Headers],0))</f>
        <v>0</v>
      </c>
      <c r="W73" s="22">
        <f>INDEX(ControlBits_Tb[],MATCH($G73,ControlBits_Tb[IR],0),MATCH(W$1,ControlBits_Tb[#Headers],0))</f>
        <v>1</v>
      </c>
      <c r="X73" s="22">
        <f>INDEX(ControlBits_Tb[],MATCH($G73,ControlBits_Tb[IR],0),MATCH(X$1,ControlBits_Tb[#Headers],0))</f>
        <v>1</v>
      </c>
      <c r="Y73" s="22">
        <f>INDEX(ControlBits_Tb[],MATCH($G73,ControlBits_Tb[IR],0),MATCH(Y$1,ControlBits_Tb[#Headers],0))</f>
        <v>0</v>
      </c>
      <c r="Z73" s="22">
        <f>INDEX(ControlBits_Tb[],MATCH($G73,ControlBits_Tb[IR],0),MATCH(Z$1,ControlBits_Tb[#Headers],0))</f>
        <v>0</v>
      </c>
      <c r="AA73" s="22">
        <f>INDEX(ControlBits_Tb[],MATCH($G73,ControlBits_Tb[IR],0),MATCH(AA$1,ControlBits_Tb[#Headers],0))</f>
        <v>0</v>
      </c>
      <c r="AB73" s="22">
        <f>INDEX(ControlBits_Tb[],MATCH($G73,ControlBits_Tb[IR],0),MATCH(AB$1,ControlBits_Tb[#Headers],0))</f>
        <v>0</v>
      </c>
      <c r="AC73" s="22">
        <f>INDEX(ControlBits_Tb[],MATCH($G73,ControlBits_Tb[IR],0),MATCH(AC$1,ControlBits_Tb[#Headers],0))</f>
        <v>1</v>
      </c>
      <c r="AD73" s="22" t="str">
        <f>INDEX(ControlBits_Tb[],MATCH($G73,ControlBits_Tb[IR],0),MATCH(AD$1,ControlBits_Tb[#Headers],0))</f>
        <v>000061</v>
      </c>
      <c r="AE73" s="28" t="str">
        <f>Test[[#This Row],[16진수test]]</f>
        <v>000061</v>
      </c>
      <c r="AF73" s="29">
        <f t="shared" si="2"/>
        <v>1</v>
      </c>
      <c r="AG73" s="29">
        <f xml:space="preserve"> Test[[#This Row],[state]]</f>
        <v>7</v>
      </c>
      <c r="AH73" s="29">
        <f t="shared" si="3"/>
        <v>1</v>
      </c>
    </row>
    <row r="74" spans="1:36">
      <c r="A74" s="39"/>
      <c r="B74" s="40"/>
      <c r="C74" s="40"/>
      <c r="D74" s="40"/>
      <c r="E74" s="40"/>
      <c r="F74" s="36">
        <v>8</v>
      </c>
      <c r="G74" s="38" t="s">
        <v>169</v>
      </c>
      <c r="H74" s="22">
        <f>INDEX(ControlBits_Tb[],MATCH($G74,ControlBits_Tb[IR],0),MATCH(H$1,ControlBits_Tb[#Headers],0))</f>
        <v>0</v>
      </c>
      <c r="I74" s="22">
        <f>INDEX(ControlBits_Tb[],MATCH($G74,ControlBits_Tb[IR],0),MATCH(I$1,ControlBits_Tb[#Headers],0))</f>
        <v>0</v>
      </c>
      <c r="J74" s="22">
        <f>INDEX(ControlBits_Tb[],MATCH($G74,ControlBits_Tb[IR],0),MATCH(J$1,ControlBits_Tb[#Headers],0))</f>
        <v>0</v>
      </c>
      <c r="K74" s="22">
        <f>INDEX(ControlBits_Tb[],MATCH($G74,ControlBits_Tb[IR],0),MATCH(K$1,ControlBits_Tb[#Headers],0))</f>
        <v>0</v>
      </c>
      <c r="L74" s="22">
        <f>INDEX(ControlBits_Tb[],MATCH($G74,ControlBits_Tb[IR],0),MATCH(L$1,ControlBits_Tb[#Headers],0))</f>
        <v>0</v>
      </c>
      <c r="M74" s="22">
        <f>INDEX(ControlBits_Tb[],MATCH($G74,ControlBits_Tb[IR],0),MATCH(M$1,ControlBits_Tb[#Headers],0))</f>
        <v>0</v>
      </c>
      <c r="N74" s="22">
        <f>INDEX(ControlBits_Tb[],MATCH($G74,ControlBits_Tb[IR],0),MATCH(N$1,ControlBits_Tb[#Headers],0))</f>
        <v>0</v>
      </c>
      <c r="O74" s="22">
        <f>INDEX(ControlBits_Tb[],MATCH($G74,ControlBits_Tb[IR],0),MATCH(O$1,ControlBits_Tb[#Headers],0))</f>
        <v>0</v>
      </c>
      <c r="P74" s="22">
        <f>INDEX(ControlBits_Tb[],MATCH($G74,ControlBits_Tb[IR],0),MATCH(P$1,ControlBits_Tb[#Headers],0))</f>
        <v>1</v>
      </c>
      <c r="Q74" s="22">
        <f>INDEX(ControlBits_Tb[],MATCH($G74,ControlBits_Tb[IR],0),MATCH(Q$1,ControlBits_Tb[#Headers],0))</f>
        <v>0</v>
      </c>
      <c r="R74" s="22">
        <f>INDEX(ControlBits_Tb[],MATCH($G74,ControlBits_Tb[IR],0),MATCH(R$1,ControlBits_Tb[#Headers],0))</f>
        <v>0</v>
      </c>
      <c r="S74" s="22">
        <f>INDEX(ControlBits_Tb[],MATCH($G74,ControlBits_Tb[IR],0),MATCH(S$1,ControlBits_Tb[#Headers],0))</f>
        <v>1</v>
      </c>
      <c r="T74" s="22">
        <f>INDEX(ControlBits_Tb[],MATCH($G74,ControlBits_Tb[IR],0),MATCH(T$1,ControlBits_Tb[#Headers],0))</f>
        <v>0</v>
      </c>
      <c r="U74" s="22">
        <f>INDEX(ControlBits_Tb[],MATCH($G74,ControlBits_Tb[IR],0),MATCH(U$1,ControlBits_Tb[#Headers],0))</f>
        <v>0</v>
      </c>
      <c r="V74" s="22">
        <f>INDEX(ControlBits_Tb[],MATCH($G74,ControlBits_Tb[IR],0),MATCH(V$1,ControlBits_Tb[#Headers],0))</f>
        <v>0</v>
      </c>
      <c r="W74" s="22">
        <f>INDEX(ControlBits_Tb[],MATCH($G74,ControlBits_Tb[IR],0),MATCH(W$1,ControlBits_Tb[#Headers],0))</f>
        <v>0</v>
      </c>
      <c r="X74" s="22">
        <f>INDEX(ControlBits_Tb[],MATCH($G74,ControlBits_Tb[IR],0),MATCH(X$1,ControlBits_Tb[#Headers],0))</f>
        <v>0</v>
      </c>
      <c r="Y74" s="22">
        <f>INDEX(ControlBits_Tb[],MATCH($G74,ControlBits_Tb[IR],0),MATCH(Y$1,ControlBits_Tb[#Headers],0))</f>
        <v>0</v>
      </c>
      <c r="Z74" s="22">
        <f>INDEX(ControlBits_Tb[],MATCH($G74,ControlBits_Tb[IR],0),MATCH(Z$1,ControlBits_Tb[#Headers],0))</f>
        <v>0</v>
      </c>
      <c r="AA74" s="22">
        <f>INDEX(ControlBits_Tb[],MATCH($G74,ControlBits_Tb[IR],0),MATCH(AA$1,ControlBits_Tb[#Headers],0))</f>
        <v>0</v>
      </c>
      <c r="AB74" s="22">
        <f>INDEX(ControlBits_Tb[],MATCH($G74,ControlBits_Tb[IR],0),MATCH(AB$1,ControlBits_Tb[#Headers],0))</f>
        <v>0</v>
      </c>
      <c r="AC74" s="22">
        <f>INDEX(ControlBits_Tb[],MATCH($G74,ControlBits_Tb[IR],0),MATCH(AC$1,ControlBits_Tb[#Headers],0))</f>
        <v>0</v>
      </c>
      <c r="AD74" s="22" t="str">
        <f>INDEX(ControlBits_Tb[],MATCH($G74,ControlBits_Tb[IR],0),MATCH(AD$1,ControlBits_Tb[#Headers],0))</f>
        <v>002400</v>
      </c>
      <c r="AE74" s="28" t="str">
        <f>Test[[#This Row],[16진수test]]</f>
        <v>002400</v>
      </c>
      <c r="AF74" s="29">
        <f t="shared" si="2"/>
        <v>1</v>
      </c>
      <c r="AG74" s="29">
        <f xml:space="preserve"> Test[[#This Row],[state]]</f>
        <v>8</v>
      </c>
      <c r="AH74" s="29">
        <f t="shared" si="3"/>
        <v>1</v>
      </c>
    </row>
    <row r="75" spans="1:36">
      <c r="A75" s="39">
        <v>18</v>
      </c>
      <c r="B75" s="40" t="s">
        <v>131</v>
      </c>
      <c r="C75" s="40" t="s">
        <v>87</v>
      </c>
      <c r="D75" s="40" t="s">
        <v>69</v>
      </c>
      <c r="E75" s="40" t="s">
        <v>88</v>
      </c>
      <c r="F75" s="36">
        <v>0</v>
      </c>
      <c r="G75" s="37" t="s">
        <v>26</v>
      </c>
      <c r="H75" s="22">
        <f>INDEX(ControlBits_Tb[],MATCH($G75,ControlBits_Tb[IR],0),MATCH(H$1,ControlBits_Tb[#Headers],0))</f>
        <v>0</v>
      </c>
      <c r="I75" s="22">
        <f>INDEX(ControlBits_Tb[],MATCH($G75,ControlBits_Tb[IR],0),MATCH(I$1,ControlBits_Tb[#Headers],0))</f>
        <v>1</v>
      </c>
      <c r="J75" s="22">
        <f>INDEX(ControlBits_Tb[],MATCH($G75,ControlBits_Tb[IR],0),MATCH(J$1,ControlBits_Tb[#Headers],0))</f>
        <v>1</v>
      </c>
      <c r="K75" s="22">
        <f>INDEX(ControlBits_Tb[],MATCH($G75,ControlBits_Tb[IR],0),MATCH(K$1,ControlBits_Tb[#Headers],0))</f>
        <v>1</v>
      </c>
      <c r="L75" s="22">
        <f>INDEX(ControlBits_Tb[],MATCH($G75,ControlBits_Tb[IR],0),MATCH(L$1,ControlBits_Tb[#Headers],0))</f>
        <v>0</v>
      </c>
      <c r="M75" s="22">
        <f>INDEX(ControlBits_Tb[],MATCH($G75,ControlBits_Tb[IR],0),MATCH(M$1,ControlBits_Tb[#Headers],0))</f>
        <v>1</v>
      </c>
      <c r="N75" s="22">
        <f>INDEX(ControlBits_Tb[],MATCH($G75,ControlBits_Tb[IR],0),MATCH(N$1,ControlBits_Tb[#Headers],0))</f>
        <v>0</v>
      </c>
      <c r="O75" s="22">
        <f>INDEX(ControlBits_Tb[],MATCH($G75,ControlBits_Tb[IR],0),MATCH(O$1,ControlBits_Tb[#Headers],0))</f>
        <v>1</v>
      </c>
      <c r="P75" s="22">
        <f>INDEX(ControlBits_Tb[],MATCH($G75,ControlBits_Tb[IR],0),MATCH(P$1,ControlBits_Tb[#Headers],0))</f>
        <v>0</v>
      </c>
      <c r="Q75" s="22">
        <f>INDEX(ControlBits_Tb[],MATCH($G75,ControlBits_Tb[IR],0),MATCH(Q$1,ControlBits_Tb[#Headers],0))</f>
        <v>0</v>
      </c>
      <c r="R75" s="22">
        <f>INDEX(ControlBits_Tb[],MATCH($G75,ControlBits_Tb[IR],0),MATCH(R$1,ControlBits_Tb[#Headers],0))</f>
        <v>0</v>
      </c>
      <c r="S75" s="22">
        <f>INDEX(ControlBits_Tb[],MATCH($G75,ControlBits_Tb[IR],0),MATCH(S$1,ControlBits_Tb[#Headers],0))</f>
        <v>0</v>
      </c>
      <c r="T75" s="22">
        <f>INDEX(ControlBits_Tb[],MATCH($G75,ControlBits_Tb[IR],0),MATCH(T$1,ControlBits_Tb[#Headers],0))</f>
        <v>0</v>
      </c>
      <c r="U75" s="22">
        <f>INDEX(ControlBits_Tb[],MATCH($G75,ControlBits_Tb[IR],0),MATCH(U$1,ControlBits_Tb[#Headers],0))</f>
        <v>0</v>
      </c>
      <c r="V75" s="22">
        <f>INDEX(ControlBits_Tb[],MATCH($G75,ControlBits_Tb[IR],0),MATCH(V$1,ControlBits_Tb[#Headers],0))</f>
        <v>0</v>
      </c>
      <c r="W75" s="22">
        <f>INDEX(ControlBits_Tb[],MATCH($G75,ControlBits_Tb[IR],0),MATCH(W$1,ControlBits_Tb[#Headers],0))</f>
        <v>0</v>
      </c>
      <c r="X75" s="22">
        <f>INDEX(ControlBits_Tb[],MATCH($G75,ControlBits_Tb[IR],0),MATCH(X$1,ControlBits_Tb[#Headers],0))</f>
        <v>0</v>
      </c>
      <c r="Y75" s="22">
        <f>INDEX(ControlBits_Tb[],MATCH($G75,ControlBits_Tb[IR],0),MATCH(Y$1,ControlBits_Tb[#Headers],0))</f>
        <v>0</v>
      </c>
      <c r="Z75" s="22">
        <f>INDEX(ControlBits_Tb[],MATCH($G75,ControlBits_Tb[IR],0),MATCH(Z$1,ControlBits_Tb[#Headers],0))</f>
        <v>0</v>
      </c>
      <c r="AA75" s="22">
        <f>INDEX(ControlBits_Tb[],MATCH($G75,ControlBits_Tb[IR],0),MATCH(AA$1,ControlBits_Tb[#Headers],0))</f>
        <v>0</v>
      </c>
      <c r="AB75" s="22">
        <f>INDEX(ControlBits_Tb[],MATCH($G75,ControlBits_Tb[IR],0),MATCH(AB$1,ControlBits_Tb[#Headers],0))</f>
        <v>0</v>
      </c>
      <c r="AC75" s="22">
        <f>INDEX(ControlBits_Tb[],MATCH($G75,ControlBits_Tb[IR],0),MATCH(AC$1,ControlBits_Tb[#Headers],0))</f>
        <v>0</v>
      </c>
      <c r="AD75" s="22" t="str">
        <f>INDEX(ControlBits_Tb[],MATCH($G75,ControlBits_Tb[IR],0),MATCH(AD$1,ControlBits_Tb[#Headers],0))</f>
        <v>1d4000</v>
      </c>
      <c r="AE75" s="28" t="str">
        <f>Test[[#This Row],[16진수test]]</f>
        <v>1D4000</v>
      </c>
      <c r="AF75" s="29">
        <f t="shared" si="2"/>
        <v>1</v>
      </c>
      <c r="AG75" s="29">
        <f xml:space="preserve"> Test[[#This Row],[state]]</f>
        <v>0</v>
      </c>
      <c r="AH75" s="29">
        <f t="shared" si="3"/>
        <v>1</v>
      </c>
    </row>
    <row r="76" spans="1:36">
      <c r="A76" s="39"/>
      <c r="B76" s="40"/>
      <c r="C76" s="40"/>
      <c r="D76" s="40"/>
      <c r="E76" s="40"/>
      <c r="F76" s="36">
        <v>1</v>
      </c>
      <c r="G76" s="37" t="s">
        <v>137</v>
      </c>
      <c r="H76" s="22">
        <f>INDEX(ControlBits_Tb[],MATCH($G76,ControlBits_Tb[IR],0),MATCH(H$1,ControlBits_Tb[#Headers],0))</f>
        <v>0</v>
      </c>
      <c r="I76" s="22">
        <f>INDEX(ControlBits_Tb[],MATCH($G76,ControlBits_Tb[IR],0),MATCH(I$1,ControlBits_Tb[#Headers],0))</f>
        <v>0</v>
      </c>
      <c r="J76" s="22">
        <f>INDEX(ControlBits_Tb[],MATCH($G76,ControlBits_Tb[IR],0),MATCH(J$1,ControlBits_Tb[#Headers],0))</f>
        <v>0</v>
      </c>
      <c r="K76" s="22">
        <f>INDEX(ControlBits_Tb[],MATCH($G76,ControlBits_Tb[IR],0),MATCH(K$1,ControlBits_Tb[#Headers],0))</f>
        <v>0</v>
      </c>
      <c r="L76" s="22">
        <f>INDEX(ControlBits_Tb[],MATCH($G76,ControlBits_Tb[IR],0),MATCH(L$1,ControlBits_Tb[#Headers],0))</f>
        <v>0</v>
      </c>
      <c r="M76" s="22">
        <f>INDEX(ControlBits_Tb[],MATCH($G76,ControlBits_Tb[IR],0),MATCH(M$1,ControlBits_Tb[#Headers],0))</f>
        <v>0</v>
      </c>
      <c r="N76" s="22">
        <f>INDEX(ControlBits_Tb[],MATCH($G76,ControlBits_Tb[IR],0),MATCH(N$1,ControlBits_Tb[#Headers],0))</f>
        <v>0</v>
      </c>
      <c r="O76" s="22">
        <f>INDEX(ControlBits_Tb[],MATCH($G76,ControlBits_Tb[IR],0),MATCH(O$1,ControlBits_Tb[#Headers],0))</f>
        <v>0</v>
      </c>
      <c r="P76" s="22">
        <f>INDEX(ControlBits_Tb[],MATCH($G76,ControlBits_Tb[IR],0),MATCH(P$1,ControlBits_Tb[#Headers],0))</f>
        <v>0</v>
      </c>
      <c r="Q76" s="22">
        <f>INDEX(ControlBits_Tb[],MATCH($G76,ControlBits_Tb[IR],0),MATCH(Q$1,ControlBits_Tb[#Headers],0))</f>
        <v>0</v>
      </c>
      <c r="R76" s="22">
        <f>INDEX(ControlBits_Tb[],MATCH($G76,ControlBits_Tb[IR],0),MATCH(R$1,ControlBits_Tb[#Headers],0))</f>
        <v>0</v>
      </c>
      <c r="S76" s="22">
        <f>INDEX(ControlBits_Tb[],MATCH($G76,ControlBits_Tb[IR],0),MATCH(S$1,ControlBits_Tb[#Headers],0))</f>
        <v>0</v>
      </c>
      <c r="T76" s="22">
        <f>INDEX(ControlBits_Tb[],MATCH($G76,ControlBits_Tb[IR],0),MATCH(T$1,ControlBits_Tb[#Headers],0))</f>
        <v>0</v>
      </c>
      <c r="U76" s="22">
        <f>INDEX(ControlBits_Tb[],MATCH($G76,ControlBits_Tb[IR],0),MATCH(U$1,ControlBits_Tb[#Headers],0))</f>
        <v>0</v>
      </c>
      <c r="V76" s="22">
        <f>INDEX(ControlBits_Tb[],MATCH($G76,ControlBits_Tb[IR],0),MATCH(V$1,ControlBits_Tb[#Headers],0))</f>
        <v>0</v>
      </c>
      <c r="W76" s="22">
        <f>INDEX(ControlBits_Tb[],MATCH($G76,ControlBits_Tb[IR],0),MATCH(W$1,ControlBits_Tb[#Headers],0))</f>
        <v>0</v>
      </c>
      <c r="X76" s="22">
        <f>INDEX(ControlBits_Tb[],MATCH($G76,ControlBits_Tb[IR],0),MATCH(X$1,ControlBits_Tb[#Headers],0))</f>
        <v>1</v>
      </c>
      <c r="Y76" s="22">
        <f>INDEX(ControlBits_Tb[],MATCH($G76,ControlBits_Tb[IR],0),MATCH(Y$1,ControlBits_Tb[#Headers],0))</f>
        <v>1</v>
      </c>
      <c r="Z76" s="22">
        <f>INDEX(ControlBits_Tb[],MATCH($G76,ControlBits_Tb[IR],0),MATCH(Z$1,ControlBits_Tb[#Headers],0))</f>
        <v>0</v>
      </c>
      <c r="AA76" s="22">
        <f>INDEX(ControlBits_Tb[],MATCH($G76,ControlBits_Tb[IR],0),MATCH(AA$1,ControlBits_Tb[#Headers],0))</f>
        <v>0</v>
      </c>
      <c r="AB76" s="22">
        <f>INDEX(ControlBits_Tb[],MATCH($G76,ControlBits_Tb[IR],0),MATCH(AB$1,ControlBits_Tb[#Headers],0))</f>
        <v>0</v>
      </c>
      <c r="AC76" s="22">
        <f>INDEX(ControlBits_Tb[],MATCH($G76,ControlBits_Tb[IR],0),MATCH(AC$1,ControlBits_Tb[#Headers],0))</f>
        <v>0</v>
      </c>
      <c r="AD76" s="22" t="str">
        <f>INDEX(ControlBits_Tb[],MATCH($G76,ControlBits_Tb[IR],0),MATCH(AD$1,ControlBits_Tb[#Headers],0))</f>
        <v>000030</v>
      </c>
      <c r="AE76" s="28" t="str">
        <f>Test[[#This Row],[16진수test]]</f>
        <v>000030</v>
      </c>
      <c r="AF76" s="29">
        <f t="shared" si="2"/>
        <v>1</v>
      </c>
      <c r="AG76" s="29">
        <f xml:space="preserve"> Test[[#This Row],[state]]</f>
        <v>1</v>
      </c>
      <c r="AH76" s="29">
        <f t="shared" si="3"/>
        <v>1</v>
      </c>
    </row>
    <row r="77" spans="1:36">
      <c r="A77" s="39"/>
      <c r="B77" s="40"/>
      <c r="C77" s="40"/>
      <c r="D77" s="40"/>
      <c r="E77" s="40"/>
      <c r="F77" s="36">
        <v>7</v>
      </c>
      <c r="G77" s="38" t="s">
        <v>61</v>
      </c>
      <c r="H77" s="22">
        <f>INDEX(ControlBits_Tb[],MATCH($G77,ControlBits_Tb[IR],0),MATCH(H$1,ControlBits_Tb[#Headers],0))</f>
        <v>0</v>
      </c>
      <c r="I77" s="22">
        <f>INDEX(ControlBits_Tb[],MATCH($G77,ControlBits_Tb[IR],0),MATCH(I$1,ControlBits_Tb[#Headers],0))</f>
        <v>0</v>
      </c>
      <c r="J77" s="22">
        <f>INDEX(ControlBits_Tb[],MATCH($G77,ControlBits_Tb[IR],0),MATCH(J$1,ControlBits_Tb[#Headers],0))</f>
        <v>0</v>
      </c>
      <c r="K77" s="22">
        <f>INDEX(ControlBits_Tb[],MATCH($G77,ControlBits_Tb[IR],0),MATCH(K$1,ControlBits_Tb[#Headers],0))</f>
        <v>0</v>
      </c>
      <c r="L77" s="22">
        <f>INDEX(ControlBits_Tb[],MATCH($G77,ControlBits_Tb[IR],0),MATCH(L$1,ControlBits_Tb[#Headers],0))</f>
        <v>0</v>
      </c>
      <c r="M77" s="22">
        <f>INDEX(ControlBits_Tb[],MATCH($G77,ControlBits_Tb[IR],0),MATCH(M$1,ControlBits_Tb[#Headers],0))</f>
        <v>0</v>
      </c>
      <c r="N77" s="22">
        <f>INDEX(ControlBits_Tb[],MATCH($G77,ControlBits_Tb[IR],0),MATCH(N$1,ControlBits_Tb[#Headers],0))</f>
        <v>0</v>
      </c>
      <c r="O77" s="22">
        <f>INDEX(ControlBits_Tb[],MATCH($G77,ControlBits_Tb[IR],0),MATCH(O$1,ControlBits_Tb[#Headers],0))</f>
        <v>0</v>
      </c>
      <c r="P77" s="22">
        <f>INDEX(ControlBits_Tb[],MATCH($G77,ControlBits_Tb[IR],0),MATCH(P$1,ControlBits_Tb[#Headers],0))</f>
        <v>0</v>
      </c>
      <c r="Q77" s="22">
        <f>INDEX(ControlBits_Tb[],MATCH($G77,ControlBits_Tb[IR],0),MATCH(Q$1,ControlBits_Tb[#Headers],0))</f>
        <v>0</v>
      </c>
      <c r="R77" s="22">
        <f>INDEX(ControlBits_Tb[],MATCH($G77,ControlBits_Tb[IR],0),MATCH(R$1,ControlBits_Tb[#Headers],0))</f>
        <v>0</v>
      </c>
      <c r="S77" s="22">
        <f>INDEX(ControlBits_Tb[],MATCH($G77,ControlBits_Tb[IR],0),MATCH(S$1,ControlBits_Tb[#Headers],0))</f>
        <v>0</v>
      </c>
      <c r="T77" s="22">
        <f>INDEX(ControlBits_Tb[],MATCH($G77,ControlBits_Tb[IR],0),MATCH(T$1,ControlBits_Tb[#Headers],0))</f>
        <v>0</v>
      </c>
      <c r="U77" s="22">
        <f>INDEX(ControlBits_Tb[],MATCH($G77,ControlBits_Tb[IR],0),MATCH(U$1,ControlBits_Tb[#Headers],0))</f>
        <v>0</v>
      </c>
      <c r="V77" s="22">
        <f>INDEX(ControlBits_Tb[],MATCH($G77,ControlBits_Tb[IR],0),MATCH(V$1,ControlBits_Tb[#Headers],0))</f>
        <v>0</v>
      </c>
      <c r="W77" s="22">
        <f>INDEX(ControlBits_Tb[],MATCH($G77,ControlBits_Tb[IR],0),MATCH(W$1,ControlBits_Tb[#Headers],0))</f>
        <v>1</v>
      </c>
      <c r="X77" s="22">
        <f>INDEX(ControlBits_Tb[],MATCH($G77,ControlBits_Tb[IR],0),MATCH(X$1,ControlBits_Tb[#Headers],0))</f>
        <v>1</v>
      </c>
      <c r="Y77" s="22">
        <f>INDEX(ControlBits_Tb[],MATCH($G77,ControlBits_Tb[IR],0),MATCH(Y$1,ControlBits_Tb[#Headers],0))</f>
        <v>0</v>
      </c>
      <c r="Z77" s="22">
        <f>INDEX(ControlBits_Tb[],MATCH($G77,ControlBits_Tb[IR],0),MATCH(Z$1,ControlBits_Tb[#Headers],0))</f>
        <v>0</v>
      </c>
      <c r="AA77" s="22">
        <f>INDEX(ControlBits_Tb[],MATCH($G77,ControlBits_Tb[IR],0),MATCH(AA$1,ControlBits_Tb[#Headers],0))</f>
        <v>1</v>
      </c>
      <c r="AB77" s="22">
        <f>INDEX(ControlBits_Tb[],MATCH($G77,ControlBits_Tb[IR],0),MATCH(AB$1,ControlBits_Tb[#Headers],0))</f>
        <v>0</v>
      </c>
      <c r="AC77" s="22">
        <f>INDEX(ControlBits_Tb[],MATCH($G77,ControlBits_Tb[IR],0),MATCH(AC$1,ControlBits_Tb[#Headers],0))</f>
        <v>1</v>
      </c>
      <c r="AD77" s="22" t="str">
        <f>INDEX(ControlBits_Tb[],MATCH($G77,ControlBits_Tb[IR],0),MATCH(AD$1,ControlBits_Tb[#Headers],0))</f>
        <v>000065</v>
      </c>
      <c r="AE77" s="28" t="str">
        <f>Test[[#This Row],[16진수test]]</f>
        <v>000065</v>
      </c>
      <c r="AF77" s="29">
        <f t="shared" si="2"/>
        <v>1</v>
      </c>
      <c r="AG77" s="29">
        <f xml:space="preserve"> Test[[#This Row],[state]]</f>
        <v>7</v>
      </c>
      <c r="AH77" s="29">
        <f t="shared" si="3"/>
        <v>1</v>
      </c>
    </row>
    <row r="78" spans="1:36">
      <c r="A78" s="39"/>
      <c r="B78" s="40"/>
      <c r="C78" s="40"/>
      <c r="D78" s="40"/>
      <c r="E78" s="40"/>
      <c r="F78" s="36">
        <v>8</v>
      </c>
      <c r="G78" s="38" t="s">
        <v>169</v>
      </c>
      <c r="H78" s="22">
        <f>INDEX(ControlBits_Tb[],MATCH($G78,ControlBits_Tb[IR],0),MATCH(H$1,ControlBits_Tb[#Headers],0))</f>
        <v>0</v>
      </c>
      <c r="I78" s="22">
        <f>INDEX(ControlBits_Tb[],MATCH($G78,ControlBits_Tb[IR],0),MATCH(I$1,ControlBits_Tb[#Headers],0))</f>
        <v>0</v>
      </c>
      <c r="J78" s="22">
        <f>INDEX(ControlBits_Tb[],MATCH($G78,ControlBits_Tb[IR],0),MATCH(J$1,ControlBits_Tb[#Headers],0))</f>
        <v>0</v>
      </c>
      <c r="K78" s="22">
        <f>INDEX(ControlBits_Tb[],MATCH($G78,ControlBits_Tb[IR],0),MATCH(K$1,ControlBits_Tb[#Headers],0))</f>
        <v>0</v>
      </c>
      <c r="L78" s="22">
        <f>INDEX(ControlBits_Tb[],MATCH($G78,ControlBits_Tb[IR],0),MATCH(L$1,ControlBits_Tb[#Headers],0))</f>
        <v>0</v>
      </c>
      <c r="M78" s="22">
        <f>INDEX(ControlBits_Tb[],MATCH($G78,ControlBits_Tb[IR],0),MATCH(M$1,ControlBits_Tb[#Headers],0))</f>
        <v>0</v>
      </c>
      <c r="N78" s="22">
        <f>INDEX(ControlBits_Tb[],MATCH($G78,ControlBits_Tb[IR],0),MATCH(N$1,ControlBits_Tb[#Headers],0))</f>
        <v>0</v>
      </c>
      <c r="O78" s="22">
        <f>INDEX(ControlBits_Tb[],MATCH($G78,ControlBits_Tb[IR],0),MATCH(O$1,ControlBits_Tb[#Headers],0))</f>
        <v>0</v>
      </c>
      <c r="P78" s="22">
        <f>INDEX(ControlBits_Tb[],MATCH($G78,ControlBits_Tb[IR],0),MATCH(P$1,ControlBits_Tb[#Headers],0))</f>
        <v>1</v>
      </c>
      <c r="Q78" s="22">
        <f>INDEX(ControlBits_Tb[],MATCH($G78,ControlBits_Tb[IR],0),MATCH(Q$1,ControlBits_Tb[#Headers],0))</f>
        <v>0</v>
      </c>
      <c r="R78" s="22">
        <f>INDEX(ControlBits_Tb[],MATCH($G78,ControlBits_Tb[IR],0),MATCH(R$1,ControlBits_Tb[#Headers],0))</f>
        <v>0</v>
      </c>
      <c r="S78" s="22">
        <f>INDEX(ControlBits_Tb[],MATCH($G78,ControlBits_Tb[IR],0),MATCH(S$1,ControlBits_Tb[#Headers],0))</f>
        <v>1</v>
      </c>
      <c r="T78" s="22">
        <f>INDEX(ControlBits_Tb[],MATCH($G78,ControlBits_Tb[IR],0),MATCH(T$1,ControlBits_Tb[#Headers],0))</f>
        <v>0</v>
      </c>
      <c r="U78" s="22">
        <f>INDEX(ControlBits_Tb[],MATCH($G78,ControlBits_Tb[IR],0),MATCH(U$1,ControlBits_Tb[#Headers],0))</f>
        <v>0</v>
      </c>
      <c r="V78" s="22">
        <f>INDEX(ControlBits_Tb[],MATCH($G78,ControlBits_Tb[IR],0),MATCH(V$1,ControlBits_Tb[#Headers],0))</f>
        <v>0</v>
      </c>
      <c r="W78" s="22">
        <f>INDEX(ControlBits_Tb[],MATCH($G78,ControlBits_Tb[IR],0),MATCH(W$1,ControlBits_Tb[#Headers],0))</f>
        <v>0</v>
      </c>
      <c r="X78" s="22">
        <f>INDEX(ControlBits_Tb[],MATCH($G78,ControlBits_Tb[IR],0),MATCH(X$1,ControlBits_Tb[#Headers],0))</f>
        <v>0</v>
      </c>
      <c r="Y78" s="22">
        <f>INDEX(ControlBits_Tb[],MATCH($G78,ControlBits_Tb[IR],0),MATCH(Y$1,ControlBits_Tb[#Headers],0))</f>
        <v>0</v>
      </c>
      <c r="Z78" s="22">
        <f>INDEX(ControlBits_Tb[],MATCH($G78,ControlBits_Tb[IR],0),MATCH(Z$1,ControlBits_Tb[#Headers],0))</f>
        <v>0</v>
      </c>
      <c r="AA78" s="22">
        <f>INDEX(ControlBits_Tb[],MATCH($G78,ControlBits_Tb[IR],0),MATCH(AA$1,ControlBits_Tb[#Headers],0))</f>
        <v>0</v>
      </c>
      <c r="AB78" s="22">
        <f>INDEX(ControlBits_Tb[],MATCH($G78,ControlBits_Tb[IR],0),MATCH(AB$1,ControlBits_Tb[#Headers],0))</f>
        <v>0</v>
      </c>
      <c r="AC78" s="22">
        <f>INDEX(ControlBits_Tb[],MATCH($G78,ControlBits_Tb[IR],0),MATCH(AC$1,ControlBits_Tb[#Headers],0))</f>
        <v>0</v>
      </c>
      <c r="AD78" s="22" t="str">
        <f>INDEX(ControlBits_Tb[],MATCH($G78,ControlBits_Tb[IR],0),MATCH(AD$1,ControlBits_Tb[#Headers],0))</f>
        <v>002400</v>
      </c>
      <c r="AE78" s="28" t="str">
        <f>Test[[#This Row],[16진수test]]</f>
        <v>002400</v>
      </c>
      <c r="AF78" s="29">
        <f t="shared" si="2"/>
        <v>1</v>
      </c>
      <c r="AG78" s="29">
        <f xml:space="preserve"> Test[[#This Row],[state]]</f>
        <v>8</v>
      </c>
      <c r="AH78" s="29">
        <f t="shared" si="3"/>
        <v>1</v>
      </c>
    </row>
    <row r="79" spans="1:36">
      <c r="A79" s="39">
        <v>19</v>
      </c>
      <c r="B79" s="40" t="s">
        <v>132</v>
      </c>
      <c r="C79" s="40" t="s">
        <v>87</v>
      </c>
      <c r="D79" s="40" t="s">
        <v>70</v>
      </c>
      <c r="E79" s="40" t="s">
        <v>88</v>
      </c>
      <c r="F79" s="36">
        <v>0</v>
      </c>
      <c r="G79" s="37" t="s">
        <v>26</v>
      </c>
      <c r="H79" s="22">
        <f>INDEX(ControlBits_Tb[],MATCH($G79,ControlBits_Tb[IR],0),MATCH(H$1,ControlBits_Tb[#Headers],0))</f>
        <v>0</v>
      </c>
      <c r="I79" s="22">
        <f>INDEX(ControlBits_Tb[],MATCH($G79,ControlBits_Tb[IR],0),MATCH(I$1,ControlBits_Tb[#Headers],0))</f>
        <v>1</v>
      </c>
      <c r="J79" s="22">
        <f>INDEX(ControlBits_Tb[],MATCH($G79,ControlBits_Tb[IR],0),MATCH(J$1,ControlBits_Tb[#Headers],0))</f>
        <v>1</v>
      </c>
      <c r="K79" s="22">
        <f>INDEX(ControlBits_Tb[],MATCH($G79,ControlBits_Tb[IR],0),MATCH(K$1,ControlBits_Tb[#Headers],0))</f>
        <v>1</v>
      </c>
      <c r="L79" s="22">
        <f>INDEX(ControlBits_Tb[],MATCH($G79,ControlBits_Tb[IR],0),MATCH(L$1,ControlBits_Tb[#Headers],0))</f>
        <v>0</v>
      </c>
      <c r="M79" s="22">
        <f>INDEX(ControlBits_Tb[],MATCH($G79,ControlBits_Tb[IR],0),MATCH(M$1,ControlBits_Tb[#Headers],0))</f>
        <v>1</v>
      </c>
      <c r="N79" s="22">
        <f>INDEX(ControlBits_Tb[],MATCH($G79,ControlBits_Tb[IR],0),MATCH(N$1,ControlBits_Tb[#Headers],0))</f>
        <v>0</v>
      </c>
      <c r="O79" s="22">
        <f>INDEX(ControlBits_Tb[],MATCH($G79,ControlBits_Tb[IR],0),MATCH(O$1,ControlBits_Tb[#Headers],0))</f>
        <v>1</v>
      </c>
      <c r="P79" s="22">
        <f>INDEX(ControlBits_Tb[],MATCH($G79,ControlBits_Tb[IR],0),MATCH(P$1,ControlBits_Tb[#Headers],0))</f>
        <v>0</v>
      </c>
      <c r="Q79" s="22">
        <f>INDEX(ControlBits_Tb[],MATCH($G79,ControlBits_Tb[IR],0),MATCH(Q$1,ControlBits_Tb[#Headers],0))</f>
        <v>0</v>
      </c>
      <c r="R79" s="22">
        <f>INDEX(ControlBits_Tb[],MATCH($G79,ControlBits_Tb[IR],0),MATCH(R$1,ControlBits_Tb[#Headers],0))</f>
        <v>0</v>
      </c>
      <c r="S79" s="22">
        <f>INDEX(ControlBits_Tb[],MATCH($G79,ControlBits_Tb[IR],0),MATCH(S$1,ControlBits_Tb[#Headers],0))</f>
        <v>0</v>
      </c>
      <c r="T79" s="22">
        <f>INDEX(ControlBits_Tb[],MATCH($G79,ControlBits_Tb[IR],0),MATCH(T$1,ControlBits_Tb[#Headers],0))</f>
        <v>0</v>
      </c>
      <c r="U79" s="22">
        <f>INDEX(ControlBits_Tb[],MATCH($G79,ControlBits_Tb[IR],0),MATCH(U$1,ControlBits_Tb[#Headers],0))</f>
        <v>0</v>
      </c>
      <c r="V79" s="22">
        <f>INDEX(ControlBits_Tb[],MATCH($G79,ControlBits_Tb[IR],0),MATCH(V$1,ControlBits_Tb[#Headers],0))</f>
        <v>0</v>
      </c>
      <c r="W79" s="22">
        <f>INDEX(ControlBits_Tb[],MATCH($G79,ControlBits_Tb[IR],0),MATCH(W$1,ControlBits_Tb[#Headers],0))</f>
        <v>0</v>
      </c>
      <c r="X79" s="22">
        <f>INDEX(ControlBits_Tb[],MATCH($G79,ControlBits_Tb[IR],0),MATCH(X$1,ControlBits_Tb[#Headers],0))</f>
        <v>0</v>
      </c>
      <c r="Y79" s="22">
        <f>INDEX(ControlBits_Tb[],MATCH($G79,ControlBits_Tb[IR],0),MATCH(Y$1,ControlBits_Tb[#Headers],0))</f>
        <v>0</v>
      </c>
      <c r="Z79" s="22">
        <f>INDEX(ControlBits_Tb[],MATCH($G79,ControlBits_Tb[IR],0),MATCH(Z$1,ControlBits_Tb[#Headers],0))</f>
        <v>0</v>
      </c>
      <c r="AA79" s="22">
        <f>INDEX(ControlBits_Tb[],MATCH($G79,ControlBits_Tb[IR],0),MATCH(AA$1,ControlBits_Tb[#Headers],0))</f>
        <v>0</v>
      </c>
      <c r="AB79" s="22">
        <f>INDEX(ControlBits_Tb[],MATCH($G79,ControlBits_Tb[IR],0),MATCH(AB$1,ControlBits_Tb[#Headers],0))</f>
        <v>0</v>
      </c>
      <c r="AC79" s="22">
        <f>INDEX(ControlBits_Tb[],MATCH($G79,ControlBits_Tb[IR],0),MATCH(AC$1,ControlBits_Tb[#Headers],0))</f>
        <v>0</v>
      </c>
      <c r="AD79" s="22" t="str">
        <f>INDEX(ControlBits_Tb[],MATCH($G79,ControlBits_Tb[IR],0),MATCH(AD$1,ControlBits_Tb[#Headers],0))</f>
        <v>1d4000</v>
      </c>
      <c r="AE79" s="28" t="str">
        <f>Test[[#This Row],[16진수test]]</f>
        <v>1D4000</v>
      </c>
      <c r="AF79" s="29">
        <f t="shared" si="2"/>
        <v>1</v>
      </c>
      <c r="AG79" s="29">
        <f xml:space="preserve"> Test[[#This Row],[state]]</f>
        <v>0</v>
      </c>
      <c r="AH79" s="29">
        <f t="shared" si="3"/>
        <v>1</v>
      </c>
    </row>
    <row r="80" spans="1:36">
      <c r="A80" s="39"/>
      <c r="B80" s="40"/>
      <c r="C80" s="40"/>
      <c r="D80" s="40"/>
      <c r="E80" s="40"/>
      <c r="F80" s="36">
        <v>1</v>
      </c>
      <c r="G80" s="37" t="s">
        <v>137</v>
      </c>
      <c r="H80" s="22">
        <f>INDEX(ControlBits_Tb[],MATCH($G80,ControlBits_Tb[IR],0),MATCH(H$1,ControlBits_Tb[#Headers],0))</f>
        <v>0</v>
      </c>
      <c r="I80" s="22">
        <f>INDEX(ControlBits_Tb[],MATCH($G80,ControlBits_Tb[IR],0),MATCH(I$1,ControlBits_Tb[#Headers],0))</f>
        <v>0</v>
      </c>
      <c r="J80" s="22">
        <f>INDEX(ControlBits_Tb[],MATCH($G80,ControlBits_Tb[IR],0),MATCH(J$1,ControlBits_Tb[#Headers],0))</f>
        <v>0</v>
      </c>
      <c r="K80" s="22">
        <f>INDEX(ControlBits_Tb[],MATCH($G80,ControlBits_Tb[IR],0),MATCH(K$1,ControlBits_Tb[#Headers],0))</f>
        <v>0</v>
      </c>
      <c r="L80" s="22">
        <f>INDEX(ControlBits_Tb[],MATCH($G80,ControlBits_Tb[IR],0),MATCH(L$1,ControlBits_Tb[#Headers],0))</f>
        <v>0</v>
      </c>
      <c r="M80" s="22">
        <f>INDEX(ControlBits_Tb[],MATCH($G80,ControlBits_Tb[IR],0),MATCH(M$1,ControlBits_Tb[#Headers],0))</f>
        <v>0</v>
      </c>
      <c r="N80" s="22">
        <f>INDEX(ControlBits_Tb[],MATCH($G80,ControlBits_Tb[IR],0),MATCH(N$1,ControlBits_Tb[#Headers],0))</f>
        <v>0</v>
      </c>
      <c r="O80" s="22">
        <f>INDEX(ControlBits_Tb[],MATCH($G80,ControlBits_Tb[IR],0),MATCH(O$1,ControlBits_Tb[#Headers],0))</f>
        <v>0</v>
      </c>
      <c r="P80" s="22">
        <f>INDEX(ControlBits_Tb[],MATCH($G80,ControlBits_Tb[IR],0),MATCH(P$1,ControlBits_Tb[#Headers],0))</f>
        <v>0</v>
      </c>
      <c r="Q80" s="22">
        <f>INDEX(ControlBits_Tb[],MATCH($G80,ControlBits_Tb[IR],0),MATCH(Q$1,ControlBits_Tb[#Headers],0))</f>
        <v>0</v>
      </c>
      <c r="R80" s="22">
        <f>INDEX(ControlBits_Tb[],MATCH($G80,ControlBits_Tb[IR],0),MATCH(R$1,ControlBits_Tb[#Headers],0))</f>
        <v>0</v>
      </c>
      <c r="S80" s="22">
        <f>INDEX(ControlBits_Tb[],MATCH($G80,ControlBits_Tb[IR],0),MATCH(S$1,ControlBits_Tb[#Headers],0))</f>
        <v>0</v>
      </c>
      <c r="T80" s="22">
        <f>INDEX(ControlBits_Tb[],MATCH($G80,ControlBits_Tb[IR],0),MATCH(T$1,ControlBits_Tb[#Headers],0))</f>
        <v>0</v>
      </c>
      <c r="U80" s="22">
        <f>INDEX(ControlBits_Tb[],MATCH($G80,ControlBits_Tb[IR],0),MATCH(U$1,ControlBits_Tb[#Headers],0))</f>
        <v>0</v>
      </c>
      <c r="V80" s="22">
        <f>INDEX(ControlBits_Tb[],MATCH($G80,ControlBits_Tb[IR],0),MATCH(V$1,ControlBits_Tb[#Headers],0))</f>
        <v>0</v>
      </c>
      <c r="W80" s="22">
        <f>INDEX(ControlBits_Tb[],MATCH($G80,ControlBits_Tb[IR],0),MATCH(W$1,ControlBits_Tb[#Headers],0))</f>
        <v>0</v>
      </c>
      <c r="X80" s="22">
        <f>INDEX(ControlBits_Tb[],MATCH($G80,ControlBits_Tb[IR],0),MATCH(X$1,ControlBits_Tb[#Headers],0))</f>
        <v>1</v>
      </c>
      <c r="Y80" s="22">
        <f>INDEX(ControlBits_Tb[],MATCH($G80,ControlBits_Tb[IR],0),MATCH(Y$1,ControlBits_Tb[#Headers],0))</f>
        <v>1</v>
      </c>
      <c r="Z80" s="22">
        <f>INDEX(ControlBits_Tb[],MATCH($G80,ControlBits_Tb[IR],0),MATCH(Z$1,ControlBits_Tb[#Headers],0))</f>
        <v>0</v>
      </c>
      <c r="AA80" s="22">
        <f>INDEX(ControlBits_Tb[],MATCH($G80,ControlBits_Tb[IR],0),MATCH(AA$1,ControlBits_Tb[#Headers],0))</f>
        <v>0</v>
      </c>
      <c r="AB80" s="22">
        <f>INDEX(ControlBits_Tb[],MATCH($G80,ControlBits_Tb[IR],0),MATCH(AB$1,ControlBits_Tb[#Headers],0))</f>
        <v>0</v>
      </c>
      <c r="AC80" s="22">
        <f>INDEX(ControlBits_Tb[],MATCH($G80,ControlBits_Tb[IR],0),MATCH(AC$1,ControlBits_Tb[#Headers],0))</f>
        <v>0</v>
      </c>
      <c r="AD80" s="22" t="str">
        <f>INDEX(ControlBits_Tb[],MATCH($G80,ControlBits_Tb[IR],0),MATCH(AD$1,ControlBits_Tb[#Headers],0))</f>
        <v>000030</v>
      </c>
      <c r="AE80" s="28" t="str">
        <f>Test[[#This Row],[16진수test]]</f>
        <v>000030</v>
      </c>
      <c r="AF80" s="29">
        <f t="shared" si="2"/>
        <v>1</v>
      </c>
      <c r="AG80" s="29">
        <f xml:space="preserve"> Test[[#This Row],[state]]</f>
        <v>1</v>
      </c>
      <c r="AH80" s="29">
        <f t="shared" si="3"/>
        <v>1</v>
      </c>
    </row>
    <row r="81" spans="1:36">
      <c r="A81" s="39"/>
      <c r="B81" s="40"/>
      <c r="C81" s="40"/>
      <c r="D81" s="40"/>
      <c r="E81" s="40"/>
      <c r="F81" s="36">
        <v>7</v>
      </c>
      <c r="G81" s="38" t="s">
        <v>62</v>
      </c>
      <c r="H81" s="22">
        <f>INDEX(ControlBits_Tb[],MATCH($G81,ControlBits_Tb[IR],0),MATCH(H$1,ControlBits_Tb[#Headers],0))</f>
        <v>0</v>
      </c>
      <c r="I81" s="22">
        <f>INDEX(ControlBits_Tb[],MATCH($G81,ControlBits_Tb[IR],0),MATCH(I$1,ControlBits_Tb[#Headers],0))</f>
        <v>0</v>
      </c>
      <c r="J81" s="22">
        <f>INDEX(ControlBits_Tb[],MATCH($G81,ControlBits_Tb[IR],0),MATCH(J$1,ControlBits_Tb[#Headers],0))</f>
        <v>0</v>
      </c>
      <c r="K81" s="22">
        <f>INDEX(ControlBits_Tb[],MATCH($G81,ControlBits_Tb[IR],0),MATCH(K$1,ControlBits_Tb[#Headers],0))</f>
        <v>0</v>
      </c>
      <c r="L81" s="22">
        <f>INDEX(ControlBits_Tb[],MATCH($G81,ControlBits_Tb[IR],0),MATCH(L$1,ControlBits_Tb[#Headers],0))</f>
        <v>0</v>
      </c>
      <c r="M81" s="22">
        <f>INDEX(ControlBits_Tb[],MATCH($G81,ControlBits_Tb[IR],0),MATCH(M$1,ControlBits_Tb[#Headers],0))</f>
        <v>0</v>
      </c>
      <c r="N81" s="22">
        <f>INDEX(ControlBits_Tb[],MATCH($G81,ControlBits_Tb[IR],0),MATCH(N$1,ControlBits_Tb[#Headers],0))</f>
        <v>0</v>
      </c>
      <c r="O81" s="22">
        <f>INDEX(ControlBits_Tb[],MATCH($G81,ControlBits_Tb[IR],0),MATCH(O$1,ControlBits_Tb[#Headers],0))</f>
        <v>0</v>
      </c>
      <c r="P81" s="22">
        <f>INDEX(ControlBits_Tb[],MATCH($G81,ControlBits_Tb[IR],0),MATCH(P$1,ControlBits_Tb[#Headers],0))</f>
        <v>0</v>
      </c>
      <c r="Q81" s="22">
        <f>INDEX(ControlBits_Tb[],MATCH($G81,ControlBits_Tb[IR],0),MATCH(Q$1,ControlBits_Tb[#Headers],0))</f>
        <v>0</v>
      </c>
      <c r="R81" s="22">
        <f>INDEX(ControlBits_Tb[],MATCH($G81,ControlBits_Tb[IR],0),MATCH(R$1,ControlBits_Tb[#Headers],0))</f>
        <v>0</v>
      </c>
      <c r="S81" s="22">
        <f>INDEX(ControlBits_Tb[],MATCH($G81,ControlBits_Tb[IR],0),MATCH(S$1,ControlBits_Tb[#Headers],0))</f>
        <v>0</v>
      </c>
      <c r="T81" s="22">
        <f>INDEX(ControlBits_Tb[],MATCH($G81,ControlBits_Tb[IR],0),MATCH(T$1,ControlBits_Tb[#Headers],0))</f>
        <v>0</v>
      </c>
      <c r="U81" s="22">
        <f>INDEX(ControlBits_Tb[],MATCH($G81,ControlBits_Tb[IR],0),MATCH(U$1,ControlBits_Tb[#Headers],0))</f>
        <v>0</v>
      </c>
      <c r="V81" s="22">
        <f>INDEX(ControlBits_Tb[],MATCH($G81,ControlBits_Tb[IR],0),MATCH(V$1,ControlBits_Tb[#Headers],0))</f>
        <v>0</v>
      </c>
      <c r="W81" s="22">
        <f>INDEX(ControlBits_Tb[],MATCH($G81,ControlBits_Tb[IR],0),MATCH(W$1,ControlBits_Tb[#Headers],0))</f>
        <v>1</v>
      </c>
      <c r="X81" s="22">
        <f>INDEX(ControlBits_Tb[],MATCH($G81,ControlBits_Tb[IR],0),MATCH(X$1,ControlBits_Tb[#Headers],0))</f>
        <v>1</v>
      </c>
      <c r="Y81" s="22">
        <f>INDEX(ControlBits_Tb[],MATCH($G81,ControlBits_Tb[IR],0),MATCH(Y$1,ControlBits_Tb[#Headers],0))</f>
        <v>0</v>
      </c>
      <c r="Z81" s="22">
        <f>INDEX(ControlBits_Tb[],MATCH($G81,ControlBits_Tb[IR],0),MATCH(Z$1,ControlBits_Tb[#Headers],0))</f>
        <v>1</v>
      </c>
      <c r="AA81" s="22">
        <f>INDEX(ControlBits_Tb[],MATCH($G81,ControlBits_Tb[IR],0),MATCH(AA$1,ControlBits_Tb[#Headers],0))</f>
        <v>0</v>
      </c>
      <c r="AB81" s="22">
        <f>INDEX(ControlBits_Tb[],MATCH($G81,ControlBits_Tb[IR],0),MATCH(AB$1,ControlBits_Tb[#Headers],0))</f>
        <v>0</v>
      </c>
      <c r="AC81" s="22">
        <f>INDEX(ControlBits_Tb[],MATCH($G81,ControlBits_Tb[IR],0),MATCH(AC$1,ControlBits_Tb[#Headers],0))</f>
        <v>1</v>
      </c>
      <c r="AD81" s="22" t="str">
        <f>INDEX(ControlBits_Tb[],MATCH($G81,ControlBits_Tb[IR],0),MATCH(AD$1,ControlBits_Tb[#Headers],0))</f>
        <v>000069</v>
      </c>
      <c r="AE81" s="28" t="str">
        <f>Test[[#This Row],[16진수test]]</f>
        <v>000069</v>
      </c>
      <c r="AF81" s="29">
        <f t="shared" si="2"/>
        <v>1</v>
      </c>
      <c r="AG81" s="29">
        <f xml:space="preserve"> Test[[#This Row],[state]]</f>
        <v>7</v>
      </c>
      <c r="AH81" s="29">
        <f t="shared" si="3"/>
        <v>1</v>
      </c>
    </row>
    <row r="82" spans="1:36">
      <c r="A82" s="39"/>
      <c r="B82" s="40"/>
      <c r="C82" s="40"/>
      <c r="D82" s="40"/>
      <c r="E82" s="40"/>
      <c r="F82" s="36">
        <v>8</v>
      </c>
      <c r="G82" s="38" t="s">
        <v>169</v>
      </c>
      <c r="H82" s="22">
        <f>INDEX(ControlBits_Tb[],MATCH($G82,ControlBits_Tb[IR],0),MATCH(H$1,ControlBits_Tb[#Headers],0))</f>
        <v>0</v>
      </c>
      <c r="I82" s="22">
        <f>INDEX(ControlBits_Tb[],MATCH($G82,ControlBits_Tb[IR],0),MATCH(I$1,ControlBits_Tb[#Headers],0))</f>
        <v>0</v>
      </c>
      <c r="J82" s="22">
        <f>INDEX(ControlBits_Tb[],MATCH($G82,ControlBits_Tb[IR],0),MATCH(J$1,ControlBits_Tb[#Headers],0))</f>
        <v>0</v>
      </c>
      <c r="K82" s="22">
        <f>INDEX(ControlBits_Tb[],MATCH($G82,ControlBits_Tb[IR],0),MATCH(K$1,ControlBits_Tb[#Headers],0))</f>
        <v>0</v>
      </c>
      <c r="L82" s="22">
        <f>INDEX(ControlBits_Tb[],MATCH($G82,ControlBits_Tb[IR],0),MATCH(L$1,ControlBits_Tb[#Headers],0))</f>
        <v>0</v>
      </c>
      <c r="M82" s="22">
        <f>INDEX(ControlBits_Tb[],MATCH($G82,ControlBits_Tb[IR],0),MATCH(M$1,ControlBits_Tb[#Headers],0))</f>
        <v>0</v>
      </c>
      <c r="N82" s="22">
        <f>INDEX(ControlBits_Tb[],MATCH($G82,ControlBits_Tb[IR],0),MATCH(N$1,ControlBits_Tb[#Headers],0))</f>
        <v>0</v>
      </c>
      <c r="O82" s="22">
        <f>INDEX(ControlBits_Tb[],MATCH($G82,ControlBits_Tb[IR],0),MATCH(O$1,ControlBits_Tb[#Headers],0))</f>
        <v>0</v>
      </c>
      <c r="P82" s="22">
        <f>INDEX(ControlBits_Tb[],MATCH($G82,ControlBits_Tb[IR],0),MATCH(P$1,ControlBits_Tb[#Headers],0))</f>
        <v>1</v>
      </c>
      <c r="Q82" s="22">
        <f>INDEX(ControlBits_Tb[],MATCH($G82,ControlBits_Tb[IR],0),MATCH(Q$1,ControlBits_Tb[#Headers],0))</f>
        <v>0</v>
      </c>
      <c r="R82" s="22">
        <f>INDEX(ControlBits_Tb[],MATCH($G82,ControlBits_Tb[IR],0),MATCH(R$1,ControlBits_Tb[#Headers],0))</f>
        <v>0</v>
      </c>
      <c r="S82" s="22">
        <f>INDEX(ControlBits_Tb[],MATCH($G82,ControlBits_Tb[IR],0),MATCH(S$1,ControlBits_Tb[#Headers],0))</f>
        <v>1</v>
      </c>
      <c r="T82" s="22">
        <f>INDEX(ControlBits_Tb[],MATCH($G82,ControlBits_Tb[IR],0),MATCH(T$1,ControlBits_Tb[#Headers],0))</f>
        <v>0</v>
      </c>
      <c r="U82" s="22">
        <f>INDEX(ControlBits_Tb[],MATCH($G82,ControlBits_Tb[IR],0),MATCH(U$1,ControlBits_Tb[#Headers],0))</f>
        <v>0</v>
      </c>
      <c r="V82" s="22">
        <f>INDEX(ControlBits_Tb[],MATCH($G82,ControlBits_Tb[IR],0),MATCH(V$1,ControlBits_Tb[#Headers],0))</f>
        <v>0</v>
      </c>
      <c r="W82" s="22">
        <f>INDEX(ControlBits_Tb[],MATCH($G82,ControlBits_Tb[IR],0),MATCH(W$1,ControlBits_Tb[#Headers],0))</f>
        <v>0</v>
      </c>
      <c r="X82" s="22">
        <f>INDEX(ControlBits_Tb[],MATCH($G82,ControlBits_Tb[IR],0),MATCH(X$1,ControlBits_Tb[#Headers],0))</f>
        <v>0</v>
      </c>
      <c r="Y82" s="22">
        <f>INDEX(ControlBits_Tb[],MATCH($G82,ControlBits_Tb[IR],0),MATCH(Y$1,ControlBits_Tb[#Headers],0))</f>
        <v>0</v>
      </c>
      <c r="Z82" s="22">
        <f>INDEX(ControlBits_Tb[],MATCH($G82,ControlBits_Tb[IR],0),MATCH(Z$1,ControlBits_Tb[#Headers],0))</f>
        <v>0</v>
      </c>
      <c r="AA82" s="22">
        <f>INDEX(ControlBits_Tb[],MATCH($G82,ControlBits_Tb[IR],0),MATCH(AA$1,ControlBits_Tb[#Headers],0))</f>
        <v>0</v>
      </c>
      <c r="AB82" s="22">
        <f>INDEX(ControlBits_Tb[],MATCH($G82,ControlBits_Tb[IR],0),MATCH(AB$1,ControlBits_Tb[#Headers],0))</f>
        <v>0</v>
      </c>
      <c r="AC82" s="22">
        <f>INDEX(ControlBits_Tb[],MATCH($G82,ControlBits_Tb[IR],0),MATCH(AC$1,ControlBits_Tb[#Headers],0))</f>
        <v>0</v>
      </c>
      <c r="AD82" s="22" t="str">
        <f>INDEX(ControlBits_Tb[],MATCH($G82,ControlBits_Tb[IR],0),MATCH(AD$1,ControlBits_Tb[#Headers],0))</f>
        <v>002400</v>
      </c>
      <c r="AE82" s="28" t="str">
        <f>Test[[#This Row],[16진수test]]</f>
        <v>002400</v>
      </c>
      <c r="AF82" s="29">
        <f t="shared" si="2"/>
        <v>1</v>
      </c>
      <c r="AG82" s="29">
        <f xml:space="preserve"> Test[[#This Row],[state]]</f>
        <v>8</v>
      </c>
      <c r="AH82" s="29">
        <f t="shared" si="3"/>
        <v>1</v>
      </c>
    </row>
    <row r="83" spans="1:36">
      <c r="A83" s="39">
        <v>20</v>
      </c>
      <c r="B83" s="40" t="s">
        <v>133</v>
      </c>
      <c r="C83" s="40" t="s">
        <v>87</v>
      </c>
      <c r="D83" s="41" t="s">
        <v>71</v>
      </c>
      <c r="E83" s="41" t="s">
        <v>88</v>
      </c>
      <c r="F83" s="38">
        <v>0</v>
      </c>
      <c r="G83" s="37" t="s">
        <v>26</v>
      </c>
      <c r="H83" s="22">
        <f>INDEX(ControlBits_Tb[],MATCH($G83,ControlBits_Tb[IR],0),MATCH(H$1,ControlBits_Tb[#Headers],0))</f>
        <v>0</v>
      </c>
      <c r="I83" s="22">
        <f>INDEX(ControlBits_Tb[],MATCH($G83,ControlBits_Tb[IR],0),MATCH(I$1,ControlBits_Tb[#Headers],0))</f>
        <v>1</v>
      </c>
      <c r="J83" s="22">
        <f>INDEX(ControlBits_Tb[],MATCH($G83,ControlBits_Tb[IR],0),MATCH(J$1,ControlBits_Tb[#Headers],0))</f>
        <v>1</v>
      </c>
      <c r="K83" s="22">
        <f>INDEX(ControlBits_Tb[],MATCH($G83,ControlBits_Tb[IR],0),MATCH(K$1,ControlBits_Tb[#Headers],0))</f>
        <v>1</v>
      </c>
      <c r="L83" s="22">
        <f>INDEX(ControlBits_Tb[],MATCH($G83,ControlBits_Tb[IR],0),MATCH(L$1,ControlBits_Tb[#Headers],0))</f>
        <v>0</v>
      </c>
      <c r="M83" s="22">
        <f>INDEX(ControlBits_Tb[],MATCH($G83,ControlBits_Tb[IR],0),MATCH(M$1,ControlBits_Tb[#Headers],0))</f>
        <v>1</v>
      </c>
      <c r="N83" s="22">
        <f>INDEX(ControlBits_Tb[],MATCH($G83,ControlBits_Tb[IR],0),MATCH(N$1,ControlBits_Tb[#Headers],0))</f>
        <v>0</v>
      </c>
      <c r="O83" s="22">
        <f>INDEX(ControlBits_Tb[],MATCH($G83,ControlBits_Tb[IR],0),MATCH(O$1,ControlBits_Tb[#Headers],0))</f>
        <v>1</v>
      </c>
      <c r="P83" s="22">
        <f>INDEX(ControlBits_Tb[],MATCH($G83,ControlBits_Tb[IR],0),MATCH(P$1,ControlBits_Tb[#Headers],0))</f>
        <v>0</v>
      </c>
      <c r="Q83" s="22">
        <f>INDEX(ControlBits_Tb[],MATCH($G83,ControlBits_Tb[IR],0),MATCH(Q$1,ControlBits_Tb[#Headers],0))</f>
        <v>0</v>
      </c>
      <c r="R83" s="22">
        <f>INDEX(ControlBits_Tb[],MATCH($G83,ControlBits_Tb[IR],0),MATCH(R$1,ControlBits_Tb[#Headers],0))</f>
        <v>0</v>
      </c>
      <c r="S83" s="22">
        <f>INDEX(ControlBits_Tb[],MATCH($G83,ControlBits_Tb[IR],0),MATCH(S$1,ControlBits_Tb[#Headers],0))</f>
        <v>0</v>
      </c>
      <c r="T83" s="22">
        <f>INDEX(ControlBits_Tb[],MATCH($G83,ControlBits_Tb[IR],0),MATCH(T$1,ControlBits_Tb[#Headers],0))</f>
        <v>0</v>
      </c>
      <c r="U83" s="22">
        <f>INDEX(ControlBits_Tb[],MATCH($G83,ControlBits_Tb[IR],0),MATCH(U$1,ControlBits_Tb[#Headers],0))</f>
        <v>0</v>
      </c>
      <c r="V83" s="22">
        <f>INDEX(ControlBits_Tb[],MATCH($G83,ControlBits_Tb[IR],0),MATCH(V$1,ControlBits_Tb[#Headers],0))</f>
        <v>0</v>
      </c>
      <c r="W83" s="22">
        <f>INDEX(ControlBits_Tb[],MATCH($G83,ControlBits_Tb[IR],0),MATCH(W$1,ControlBits_Tb[#Headers],0))</f>
        <v>0</v>
      </c>
      <c r="X83" s="22">
        <f>INDEX(ControlBits_Tb[],MATCH($G83,ControlBits_Tb[IR],0),MATCH(X$1,ControlBits_Tb[#Headers],0))</f>
        <v>0</v>
      </c>
      <c r="Y83" s="22">
        <f>INDEX(ControlBits_Tb[],MATCH($G83,ControlBits_Tb[IR],0),MATCH(Y$1,ControlBits_Tb[#Headers],0))</f>
        <v>0</v>
      </c>
      <c r="Z83" s="22">
        <f>INDEX(ControlBits_Tb[],MATCH($G83,ControlBits_Tb[IR],0),MATCH(Z$1,ControlBits_Tb[#Headers],0))</f>
        <v>0</v>
      </c>
      <c r="AA83" s="22">
        <f>INDEX(ControlBits_Tb[],MATCH($G83,ControlBits_Tb[IR],0),MATCH(AA$1,ControlBits_Tb[#Headers],0))</f>
        <v>0</v>
      </c>
      <c r="AB83" s="22">
        <f>INDEX(ControlBits_Tb[],MATCH($G83,ControlBits_Tb[IR],0),MATCH(AB$1,ControlBits_Tb[#Headers],0))</f>
        <v>0</v>
      </c>
      <c r="AC83" s="22">
        <f>INDEX(ControlBits_Tb[],MATCH($G83,ControlBits_Tb[IR],0),MATCH(AC$1,ControlBits_Tb[#Headers],0))</f>
        <v>0</v>
      </c>
      <c r="AD83" s="22" t="str">
        <f>INDEX(ControlBits_Tb[],MATCH($G83,ControlBits_Tb[IR],0),MATCH(AD$1,ControlBits_Tb[#Headers],0))</f>
        <v>1d4000</v>
      </c>
      <c r="AE83" s="28" t="str">
        <f>Test[[#This Row],[16진수test]]</f>
        <v>1D4000</v>
      </c>
      <c r="AF83" s="29">
        <f t="shared" si="2"/>
        <v>1</v>
      </c>
      <c r="AG83" s="29">
        <f xml:space="preserve"> Test[[#This Row],[state]]</f>
        <v>0</v>
      </c>
      <c r="AH83" s="29">
        <f t="shared" si="3"/>
        <v>1</v>
      </c>
    </row>
    <row r="84" spans="1:36">
      <c r="A84" s="39"/>
      <c r="B84" s="40"/>
      <c r="C84" s="40"/>
      <c r="D84" s="41"/>
      <c r="E84" s="41"/>
      <c r="F84" s="38">
        <v>1</v>
      </c>
      <c r="G84" s="37" t="s">
        <v>137</v>
      </c>
      <c r="H84" s="22">
        <f>INDEX(ControlBits_Tb[],MATCH($G84,ControlBits_Tb[IR],0),MATCH(H$1,ControlBits_Tb[#Headers],0))</f>
        <v>0</v>
      </c>
      <c r="I84" s="22">
        <f>INDEX(ControlBits_Tb[],MATCH($G84,ControlBits_Tb[IR],0),MATCH(I$1,ControlBits_Tb[#Headers],0))</f>
        <v>0</v>
      </c>
      <c r="J84" s="22">
        <f>INDEX(ControlBits_Tb[],MATCH($G84,ControlBits_Tb[IR],0),MATCH(J$1,ControlBits_Tb[#Headers],0))</f>
        <v>0</v>
      </c>
      <c r="K84" s="22">
        <f>INDEX(ControlBits_Tb[],MATCH($G84,ControlBits_Tb[IR],0),MATCH(K$1,ControlBits_Tb[#Headers],0))</f>
        <v>0</v>
      </c>
      <c r="L84" s="22">
        <f>INDEX(ControlBits_Tb[],MATCH($G84,ControlBits_Tb[IR],0),MATCH(L$1,ControlBits_Tb[#Headers],0))</f>
        <v>0</v>
      </c>
      <c r="M84" s="22">
        <f>INDEX(ControlBits_Tb[],MATCH($G84,ControlBits_Tb[IR],0),MATCH(M$1,ControlBits_Tb[#Headers],0))</f>
        <v>0</v>
      </c>
      <c r="N84" s="22">
        <f>INDEX(ControlBits_Tb[],MATCH($G84,ControlBits_Tb[IR],0),MATCH(N$1,ControlBits_Tb[#Headers],0))</f>
        <v>0</v>
      </c>
      <c r="O84" s="22">
        <f>INDEX(ControlBits_Tb[],MATCH($G84,ControlBits_Tb[IR],0),MATCH(O$1,ControlBits_Tb[#Headers],0))</f>
        <v>0</v>
      </c>
      <c r="P84" s="22">
        <f>INDEX(ControlBits_Tb[],MATCH($G84,ControlBits_Tb[IR],0),MATCH(P$1,ControlBits_Tb[#Headers],0))</f>
        <v>0</v>
      </c>
      <c r="Q84" s="22">
        <f>INDEX(ControlBits_Tb[],MATCH($G84,ControlBits_Tb[IR],0),MATCH(Q$1,ControlBits_Tb[#Headers],0))</f>
        <v>0</v>
      </c>
      <c r="R84" s="22">
        <f>INDEX(ControlBits_Tb[],MATCH($G84,ControlBits_Tb[IR],0),MATCH(R$1,ControlBits_Tb[#Headers],0))</f>
        <v>0</v>
      </c>
      <c r="S84" s="22">
        <f>INDEX(ControlBits_Tb[],MATCH($G84,ControlBits_Tb[IR],0),MATCH(S$1,ControlBits_Tb[#Headers],0))</f>
        <v>0</v>
      </c>
      <c r="T84" s="22">
        <f>INDEX(ControlBits_Tb[],MATCH($G84,ControlBits_Tb[IR],0),MATCH(T$1,ControlBits_Tb[#Headers],0))</f>
        <v>0</v>
      </c>
      <c r="U84" s="22">
        <f>INDEX(ControlBits_Tb[],MATCH($G84,ControlBits_Tb[IR],0),MATCH(U$1,ControlBits_Tb[#Headers],0))</f>
        <v>0</v>
      </c>
      <c r="V84" s="22">
        <f>INDEX(ControlBits_Tb[],MATCH($G84,ControlBits_Tb[IR],0),MATCH(V$1,ControlBits_Tb[#Headers],0))</f>
        <v>0</v>
      </c>
      <c r="W84" s="22">
        <f>INDEX(ControlBits_Tb[],MATCH($G84,ControlBits_Tb[IR],0),MATCH(W$1,ControlBits_Tb[#Headers],0))</f>
        <v>0</v>
      </c>
      <c r="X84" s="22">
        <f>INDEX(ControlBits_Tb[],MATCH($G84,ControlBits_Tb[IR],0),MATCH(X$1,ControlBits_Tb[#Headers],0))</f>
        <v>1</v>
      </c>
      <c r="Y84" s="22">
        <f>INDEX(ControlBits_Tb[],MATCH($G84,ControlBits_Tb[IR],0),MATCH(Y$1,ControlBits_Tb[#Headers],0))</f>
        <v>1</v>
      </c>
      <c r="Z84" s="22">
        <f>INDEX(ControlBits_Tb[],MATCH($G84,ControlBits_Tb[IR],0),MATCH(Z$1,ControlBits_Tb[#Headers],0))</f>
        <v>0</v>
      </c>
      <c r="AA84" s="22">
        <f>INDEX(ControlBits_Tb[],MATCH($G84,ControlBits_Tb[IR],0),MATCH(AA$1,ControlBits_Tb[#Headers],0))</f>
        <v>0</v>
      </c>
      <c r="AB84" s="22">
        <f>INDEX(ControlBits_Tb[],MATCH($G84,ControlBits_Tb[IR],0),MATCH(AB$1,ControlBits_Tb[#Headers],0))</f>
        <v>0</v>
      </c>
      <c r="AC84" s="22">
        <f>INDEX(ControlBits_Tb[],MATCH($G84,ControlBits_Tb[IR],0),MATCH(AC$1,ControlBits_Tb[#Headers],0))</f>
        <v>0</v>
      </c>
      <c r="AD84" s="22" t="str">
        <f>INDEX(ControlBits_Tb[],MATCH($G84,ControlBits_Tb[IR],0),MATCH(AD$1,ControlBits_Tb[#Headers],0))</f>
        <v>000030</v>
      </c>
      <c r="AE84" s="28" t="str">
        <f>Test[[#This Row],[16진수test]]</f>
        <v>000030</v>
      </c>
      <c r="AF84" s="29">
        <f t="shared" si="2"/>
        <v>1</v>
      </c>
      <c r="AG84" s="29">
        <f xml:space="preserve"> Test[[#This Row],[state]]</f>
        <v>1</v>
      </c>
      <c r="AH84" s="29">
        <f t="shared" si="3"/>
        <v>1</v>
      </c>
    </row>
    <row r="85" spans="1:36">
      <c r="A85" s="39"/>
      <c r="B85" s="40"/>
      <c r="C85" s="40"/>
      <c r="D85" s="41"/>
      <c r="E85" s="41"/>
      <c r="F85" s="38">
        <v>2</v>
      </c>
      <c r="G85" s="38" t="s">
        <v>163</v>
      </c>
      <c r="H85" s="22">
        <f>INDEX(ControlBits_Tb[],MATCH($G85,ControlBits_Tb[IR],0),MATCH(H$1,ControlBits_Tb[#Headers],0))</f>
        <v>0</v>
      </c>
      <c r="I85" s="22">
        <f>INDEX(ControlBits_Tb[],MATCH($G85,ControlBits_Tb[IR],0),MATCH(I$1,ControlBits_Tb[#Headers],0))</f>
        <v>0</v>
      </c>
      <c r="J85" s="22">
        <f>INDEX(ControlBits_Tb[],MATCH($G85,ControlBits_Tb[IR],0),MATCH(J$1,ControlBits_Tb[#Headers],0))</f>
        <v>0</v>
      </c>
      <c r="K85" s="22">
        <f>INDEX(ControlBits_Tb[],MATCH($G85,ControlBits_Tb[IR],0),MATCH(K$1,ControlBits_Tb[#Headers],0))</f>
        <v>0</v>
      </c>
      <c r="L85" s="22">
        <f>INDEX(ControlBits_Tb[],MATCH($G85,ControlBits_Tb[IR],0),MATCH(L$1,ControlBits_Tb[#Headers],0))</f>
        <v>0</v>
      </c>
      <c r="M85" s="22">
        <f>INDEX(ControlBits_Tb[],MATCH($G85,ControlBits_Tb[IR],0),MATCH(M$1,ControlBits_Tb[#Headers],0))</f>
        <v>0</v>
      </c>
      <c r="N85" s="22">
        <f>INDEX(ControlBits_Tb[],MATCH($G85,ControlBits_Tb[IR],0),MATCH(N$1,ControlBits_Tb[#Headers],0))</f>
        <v>0</v>
      </c>
      <c r="O85" s="22">
        <f>INDEX(ControlBits_Tb[],MATCH($G85,ControlBits_Tb[IR],0),MATCH(O$1,ControlBits_Tb[#Headers],0))</f>
        <v>0</v>
      </c>
      <c r="P85" s="22">
        <f>INDEX(ControlBits_Tb[],MATCH($G85,ControlBits_Tb[IR],0),MATCH(P$1,ControlBits_Tb[#Headers],0))</f>
        <v>0</v>
      </c>
      <c r="Q85" s="22">
        <f>INDEX(ControlBits_Tb[],MATCH($G85,ControlBits_Tb[IR],0),MATCH(Q$1,ControlBits_Tb[#Headers],0))</f>
        <v>0</v>
      </c>
      <c r="R85" s="22">
        <f>INDEX(ControlBits_Tb[],MATCH($G85,ControlBits_Tb[IR],0),MATCH(R$1,ControlBits_Tb[#Headers],0))</f>
        <v>0</v>
      </c>
      <c r="S85" s="22">
        <f>INDEX(ControlBits_Tb[],MATCH($G85,ControlBits_Tb[IR],0),MATCH(S$1,ControlBits_Tb[#Headers],0))</f>
        <v>0</v>
      </c>
      <c r="T85" s="22">
        <f>INDEX(ControlBits_Tb[],MATCH($G85,ControlBits_Tb[IR],0),MATCH(T$1,ControlBits_Tb[#Headers],0))</f>
        <v>0</v>
      </c>
      <c r="U85" s="22">
        <f>INDEX(ControlBits_Tb[],MATCH($G85,ControlBits_Tb[IR],0),MATCH(U$1,ControlBits_Tb[#Headers],0))</f>
        <v>0</v>
      </c>
      <c r="V85" s="22">
        <f>INDEX(ControlBits_Tb[],MATCH($G85,ControlBits_Tb[IR],0),MATCH(V$1,ControlBits_Tb[#Headers],0))</f>
        <v>0</v>
      </c>
      <c r="W85" s="22">
        <f>INDEX(ControlBits_Tb[],MATCH($G85,ControlBits_Tb[IR],0),MATCH(W$1,ControlBits_Tb[#Headers],0))</f>
        <v>1</v>
      </c>
      <c r="X85" s="22">
        <f>INDEX(ControlBits_Tb[],MATCH($G85,ControlBits_Tb[IR],0),MATCH(X$1,ControlBits_Tb[#Headers],0))</f>
        <v>1</v>
      </c>
      <c r="Y85" s="22">
        <f>INDEX(ControlBits_Tb[],MATCH($G85,ControlBits_Tb[IR],0),MATCH(Y$1,ControlBits_Tb[#Headers],0))</f>
        <v>0</v>
      </c>
      <c r="Z85" s="22">
        <f>INDEX(ControlBits_Tb[],MATCH($G85,ControlBits_Tb[IR],0),MATCH(Z$1,ControlBits_Tb[#Headers],0))</f>
        <v>0</v>
      </c>
      <c r="AA85" s="22">
        <f>INDEX(ControlBits_Tb[],MATCH($G85,ControlBits_Tb[IR],0),MATCH(AA$1,ControlBits_Tb[#Headers],0))</f>
        <v>0</v>
      </c>
      <c r="AB85" s="22">
        <f>INDEX(ControlBits_Tb[],MATCH($G85,ControlBits_Tb[IR],0),MATCH(AB$1,ControlBits_Tb[#Headers],0))</f>
        <v>0</v>
      </c>
      <c r="AC85" s="22">
        <f>INDEX(ControlBits_Tb[],MATCH($G85,ControlBits_Tb[IR],0),MATCH(AC$1,ControlBits_Tb[#Headers],0))</f>
        <v>0</v>
      </c>
      <c r="AD85" s="22" t="str">
        <f>INDEX(ControlBits_Tb[],MATCH($G85,ControlBits_Tb[IR],0),MATCH(AD$1,ControlBits_Tb[#Headers],0))</f>
        <v>000060</v>
      </c>
      <c r="AE85" s="28" t="str">
        <f>Test[[#This Row],[16진수test]]</f>
        <v>000060</v>
      </c>
      <c r="AF85" s="29">
        <f t="shared" si="2"/>
        <v>1</v>
      </c>
      <c r="AG85" s="29">
        <f xml:space="preserve"> Test[[#This Row],[state]]</f>
        <v>2</v>
      </c>
      <c r="AH85" s="29">
        <f t="shared" si="3"/>
        <v>1</v>
      </c>
    </row>
    <row r="86" spans="1:36">
      <c r="A86" s="39"/>
      <c r="B86" s="40"/>
      <c r="C86" s="40"/>
      <c r="D86" s="41"/>
      <c r="E86" s="41"/>
      <c r="F86" s="38">
        <v>3</v>
      </c>
      <c r="G86" s="38" t="s">
        <v>164</v>
      </c>
      <c r="H86" s="22">
        <f>INDEX(ControlBits_Tb[],MATCH($G86,ControlBits_Tb[IR],0),MATCH(H$1,ControlBits_Tb[#Headers],0))</f>
        <v>0</v>
      </c>
      <c r="I86" s="22">
        <f>INDEX(ControlBits_Tb[],MATCH($G86,ControlBits_Tb[IR],0),MATCH(I$1,ControlBits_Tb[#Headers],0))</f>
        <v>0</v>
      </c>
      <c r="J86" s="22">
        <f>INDEX(ControlBits_Tb[],MATCH($G86,ControlBits_Tb[IR],0),MATCH(J$1,ControlBits_Tb[#Headers],0))</f>
        <v>0</v>
      </c>
      <c r="K86" s="22">
        <f>INDEX(ControlBits_Tb[],MATCH($G86,ControlBits_Tb[IR],0),MATCH(K$1,ControlBits_Tb[#Headers],0))</f>
        <v>0</v>
      </c>
      <c r="L86" s="22">
        <f>INDEX(ControlBits_Tb[],MATCH($G86,ControlBits_Tb[IR],0),MATCH(L$1,ControlBits_Tb[#Headers],0))</f>
        <v>1</v>
      </c>
      <c r="M86" s="22">
        <f>INDEX(ControlBits_Tb[],MATCH($G86,ControlBits_Tb[IR],0),MATCH(M$1,ControlBits_Tb[#Headers],0))</f>
        <v>1</v>
      </c>
      <c r="N86" s="22">
        <f>INDEX(ControlBits_Tb[],MATCH($G86,ControlBits_Tb[IR],0),MATCH(N$1,ControlBits_Tb[#Headers],0))</f>
        <v>0</v>
      </c>
      <c r="O86" s="22">
        <f>INDEX(ControlBits_Tb[],MATCH($G86,ControlBits_Tb[IR],0),MATCH(O$1,ControlBits_Tb[#Headers],0))</f>
        <v>0</v>
      </c>
      <c r="P86" s="22">
        <f>INDEX(ControlBits_Tb[],MATCH($G86,ControlBits_Tb[IR],0),MATCH(P$1,ControlBits_Tb[#Headers],0))</f>
        <v>0</v>
      </c>
      <c r="Q86" s="22">
        <f>INDEX(ControlBits_Tb[],MATCH($G86,ControlBits_Tb[IR],0),MATCH(Q$1,ControlBits_Tb[#Headers],0))</f>
        <v>0</v>
      </c>
      <c r="R86" s="22">
        <f>INDEX(ControlBits_Tb[],MATCH($G86,ControlBits_Tb[IR],0),MATCH(R$1,ControlBits_Tb[#Headers],0))</f>
        <v>0</v>
      </c>
      <c r="S86" s="22">
        <f>INDEX(ControlBits_Tb[],MATCH($G86,ControlBits_Tb[IR],0),MATCH(S$1,ControlBits_Tb[#Headers],0))</f>
        <v>0</v>
      </c>
      <c r="T86" s="22">
        <f>INDEX(ControlBits_Tb[],MATCH($G86,ControlBits_Tb[IR],0),MATCH(T$1,ControlBits_Tb[#Headers],0))</f>
        <v>0</v>
      </c>
      <c r="U86" s="22">
        <f>INDEX(ControlBits_Tb[],MATCH($G86,ControlBits_Tb[IR],0),MATCH(U$1,ControlBits_Tb[#Headers],0))</f>
        <v>0</v>
      </c>
      <c r="V86" s="22">
        <f>INDEX(ControlBits_Tb[],MATCH($G86,ControlBits_Tb[IR],0),MATCH(V$1,ControlBits_Tb[#Headers],0))</f>
        <v>0</v>
      </c>
      <c r="W86" s="22">
        <f>INDEX(ControlBits_Tb[],MATCH($G86,ControlBits_Tb[IR],0),MATCH(W$1,ControlBits_Tb[#Headers],0))</f>
        <v>0</v>
      </c>
      <c r="X86" s="22">
        <f>INDEX(ControlBits_Tb[],MATCH($G86,ControlBits_Tb[IR],0),MATCH(X$1,ControlBits_Tb[#Headers],0))</f>
        <v>0</v>
      </c>
      <c r="Y86" s="22">
        <f>INDEX(ControlBits_Tb[],MATCH($G86,ControlBits_Tb[IR],0),MATCH(Y$1,ControlBits_Tb[#Headers],0))</f>
        <v>0</v>
      </c>
      <c r="Z86" s="22">
        <f>INDEX(ControlBits_Tb[],MATCH($G86,ControlBits_Tb[IR],0),MATCH(Z$1,ControlBits_Tb[#Headers],0))</f>
        <v>0</v>
      </c>
      <c r="AA86" s="22">
        <f>INDEX(ControlBits_Tb[],MATCH($G86,ControlBits_Tb[IR],0),MATCH(AA$1,ControlBits_Tb[#Headers],0))</f>
        <v>0</v>
      </c>
      <c r="AB86" s="22">
        <f>INDEX(ControlBits_Tb[],MATCH($G86,ControlBits_Tb[IR],0),MATCH(AB$1,ControlBits_Tb[#Headers],0))</f>
        <v>0</v>
      </c>
      <c r="AC86" s="22">
        <f>INDEX(ControlBits_Tb[],MATCH($G86,ControlBits_Tb[IR],0),MATCH(AC$1,ControlBits_Tb[#Headers],0))</f>
        <v>0</v>
      </c>
      <c r="AD86" s="22" t="str">
        <f>INDEX(ControlBits_Tb[],MATCH($G86,ControlBits_Tb[IR],0),MATCH(AD$1,ControlBits_Tb[#Headers],0))</f>
        <v>030000</v>
      </c>
      <c r="AE86" s="28" t="str">
        <f>Test[[#This Row],[16진수test]]</f>
        <v>030000</v>
      </c>
      <c r="AF86" s="29">
        <f t="shared" si="2"/>
        <v>1</v>
      </c>
      <c r="AG86" s="29">
        <f xml:space="preserve"> Test[[#This Row],[state]]</f>
        <v>3</v>
      </c>
      <c r="AH86" s="29">
        <f t="shared" si="3"/>
        <v>1</v>
      </c>
    </row>
    <row r="87" spans="1:36">
      <c r="A87" s="39"/>
      <c r="B87" s="40"/>
      <c r="C87" s="40"/>
      <c r="D87" s="41"/>
      <c r="E87" s="41"/>
      <c r="F87" s="38">
        <v>4</v>
      </c>
      <c r="G87" s="38" t="s">
        <v>165</v>
      </c>
      <c r="H87" s="22">
        <f>INDEX(ControlBits_Tb[],MATCH($G87,ControlBits_Tb[IR],0),MATCH(H$1,ControlBits_Tb[#Headers],0))</f>
        <v>0</v>
      </c>
      <c r="I87" s="22">
        <f>INDEX(ControlBits_Tb[],MATCH($G87,ControlBits_Tb[IR],0),MATCH(I$1,ControlBits_Tb[#Headers],0))</f>
        <v>0</v>
      </c>
      <c r="J87" s="22">
        <f>INDEX(ControlBits_Tb[],MATCH($G87,ControlBits_Tb[IR],0),MATCH(J$1,ControlBits_Tb[#Headers],0))</f>
        <v>0</v>
      </c>
      <c r="K87" s="22">
        <f>INDEX(ControlBits_Tb[],MATCH($G87,ControlBits_Tb[IR],0),MATCH(K$1,ControlBits_Tb[#Headers],0))</f>
        <v>0</v>
      </c>
      <c r="L87" s="22">
        <f>INDEX(ControlBits_Tb[],MATCH($G87,ControlBits_Tb[IR],0),MATCH(L$1,ControlBits_Tb[#Headers],0))</f>
        <v>0</v>
      </c>
      <c r="M87" s="22">
        <f>INDEX(ControlBits_Tb[],MATCH($G87,ControlBits_Tb[IR],0),MATCH(M$1,ControlBits_Tb[#Headers],0))</f>
        <v>0</v>
      </c>
      <c r="N87" s="22">
        <f>INDEX(ControlBits_Tb[],MATCH($G87,ControlBits_Tb[IR],0),MATCH(N$1,ControlBits_Tb[#Headers],0))</f>
        <v>0</v>
      </c>
      <c r="O87" s="22">
        <f>INDEX(ControlBits_Tb[],MATCH($G87,ControlBits_Tb[IR],0),MATCH(O$1,ControlBits_Tb[#Headers],0))</f>
        <v>0</v>
      </c>
      <c r="P87" s="22">
        <f>INDEX(ControlBits_Tb[],MATCH($G87,ControlBits_Tb[IR],0),MATCH(P$1,ControlBits_Tb[#Headers],0))</f>
        <v>1</v>
      </c>
      <c r="Q87" s="22">
        <f>INDEX(ControlBits_Tb[],MATCH($G87,ControlBits_Tb[IR],0),MATCH(Q$1,ControlBits_Tb[#Headers],0))</f>
        <v>0</v>
      </c>
      <c r="R87" s="22">
        <f>INDEX(ControlBits_Tb[],MATCH($G87,ControlBits_Tb[IR],0),MATCH(R$1,ControlBits_Tb[#Headers],0))</f>
        <v>0</v>
      </c>
      <c r="S87" s="22">
        <f>INDEX(ControlBits_Tb[],MATCH($G87,ControlBits_Tb[IR],0),MATCH(S$1,ControlBits_Tb[#Headers],0))</f>
        <v>0</v>
      </c>
      <c r="T87" s="22">
        <f>INDEX(ControlBits_Tb[],MATCH($G87,ControlBits_Tb[IR],0),MATCH(T$1,ControlBits_Tb[#Headers],0))</f>
        <v>0</v>
      </c>
      <c r="U87" s="22">
        <f>INDEX(ControlBits_Tb[],MATCH($G87,ControlBits_Tb[IR],0),MATCH(U$1,ControlBits_Tb[#Headers],0))</f>
        <v>0</v>
      </c>
      <c r="V87" s="22">
        <f>INDEX(ControlBits_Tb[],MATCH($G87,ControlBits_Tb[IR],0),MATCH(V$1,ControlBits_Tb[#Headers],0))</f>
        <v>0</v>
      </c>
      <c r="W87" s="22">
        <f>INDEX(ControlBits_Tb[],MATCH($G87,ControlBits_Tb[IR],0),MATCH(W$1,ControlBits_Tb[#Headers],0))</f>
        <v>0</v>
      </c>
      <c r="X87" s="22">
        <f>INDEX(ControlBits_Tb[],MATCH($G87,ControlBits_Tb[IR],0),MATCH(X$1,ControlBits_Tb[#Headers],0))</f>
        <v>0</v>
      </c>
      <c r="Y87" s="22">
        <f>INDEX(ControlBits_Tb[],MATCH($G87,ControlBits_Tb[IR],0),MATCH(Y$1,ControlBits_Tb[#Headers],0))</f>
        <v>0</v>
      </c>
      <c r="Z87" s="22">
        <f>INDEX(ControlBits_Tb[],MATCH($G87,ControlBits_Tb[IR],0),MATCH(Z$1,ControlBits_Tb[#Headers],0))</f>
        <v>0</v>
      </c>
      <c r="AA87" s="22">
        <f>INDEX(ControlBits_Tb[],MATCH($G87,ControlBits_Tb[IR],0),MATCH(AA$1,ControlBits_Tb[#Headers],0))</f>
        <v>0</v>
      </c>
      <c r="AB87" s="22">
        <f>INDEX(ControlBits_Tb[],MATCH($G87,ControlBits_Tb[IR],0),MATCH(AB$1,ControlBits_Tb[#Headers],0))</f>
        <v>0</v>
      </c>
      <c r="AC87" s="22">
        <f>INDEX(ControlBits_Tb[],MATCH($G87,ControlBits_Tb[IR],0),MATCH(AC$1,ControlBits_Tb[#Headers],0))</f>
        <v>0</v>
      </c>
      <c r="AD87" s="22" t="str">
        <f>INDEX(ControlBits_Tb[],MATCH($G87,ControlBits_Tb[IR],0),MATCH(AD$1,ControlBits_Tb[#Headers],0))</f>
        <v>002000</v>
      </c>
      <c r="AE87" s="28" t="str">
        <f>Test[[#This Row],[16진수test]]</f>
        <v>002000</v>
      </c>
      <c r="AF87" s="29">
        <f t="shared" si="2"/>
        <v>1</v>
      </c>
      <c r="AG87" s="29">
        <f xml:space="preserve"> Test[[#This Row],[state]]</f>
        <v>4</v>
      </c>
      <c r="AH87" s="29">
        <f t="shared" si="3"/>
        <v>1</v>
      </c>
    </row>
    <row r="88" spans="1:36">
      <c r="A88" s="39">
        <v>21</v>
      </c>
      <c r="B88" s="40" t="s">
        <v>134</v>
      </c>
      <c r="C88" s="40" t="s">
        <v>87</v>
      </c>
      <c r="D88" s="40">
        <v>101011</v>
      </c>
      <c r="E88" s="40" t="s">
        <v>88</v>
      </c>
      <c r="F88" s="38">
        <v>0</v>
      </c>
      <c r="G88" s="37" t="s">
        <v>26</v>
      </c>
      <c r="H88" s="22">
        <f>INDEX(ControlBits_Tb[],MATCH($G88,ControlBits_Tb[IR],0),MATCH(H$1,ControlBits_Tb[#Headers],0))</f>
        <v>0</v>
      </c>
      <c r="I88" s="22">
        <f>INDEX(ControlBits_Tb[],MATCH($G88,ControlBits_Tb[IR],0),MATCH(I$1,ControlBits_Tb[#Headers],0))</f>
        <v>1</v>
      </c>
      <c r="J88" s="22">
        <f>INDEX(ControlBits_Tb[],MATCH($G88,ControlBits_Tb[IR],0),MATCH(J$1,ControlBits_Tb[#Headers],0))</f>
        <v>1</v>
      </c>
      <c r="K88" s="22">
        <f>INDEX(ControlBits_Tb[],MATCH($G88,ControlBits_Tb[IR],0),MATCH(K$1,ControlBits_Tb[#Headers],0))</f>
        <v>1</v>
      </c>
      <c r="L88" s="22">
        <f>INDEX(ControlBits_Tb[],MATCH($G88,ControlBits_Tb[IR],0),MATCH(L$1,ControlBits_Tb[#Headers],0))</f>
        <v>0</v>
      </c>
      <c r="M88" s="22">
        <f>INDEX(ControlBits_Tb[],MATCH($G88,ControlBits_Tb[IR],0),MATCH(M$1,ControlBits_Tb[#Headers],0))</f>
        <v>1</v>
      </c>
      <c r="N88" s="22">
        <f>INDEX(ControlBits_Tb[],MATCH($G88,ControlBits_Tb[IR],0),MATCH(N$1,ControlBits_Tb[#Headers],0))</f>
        <v>0</v>
      </c>
      <c r="O88" s="22">
        <f>INDEX(ControlBits_Tb[],MATCH($G88,ControlBits_Tb[IR],0),MATCH(O$1,ControlBits_Tb[#Headers],0))</f>
        <v>1</v>
      </c>
      <c r="P88" s="22">
        <f>INDEX(ControlBits_Tb[],MATCH($G88,ControlBits_Tb[IR],0),MATCH(P$1,ControlBits_Tb[#Headers],0))</f>
        <v>0</v>
      </c>
      <c r="Q88" s="22">
        <f>INDEX(ControlBits_Tb[],MATCH($G88,ControlBits_Tb[IR],0),MATCH(Q$1,ControlBits_Tb[#Headers],0))</f>
        <v>0</v>
      </c>
      <c r="R88" s="22">
        <f>INDEX(ControlBits_Tb[],MATCH($G88,ControlBits_Tb[IR],0),MATCH(R$1,ControlBits_Tb[#Headers],0))</f>
        <v>0</v>
      </c>
      <c r="S88" s="22">
        <f>INDEX(ControlBits_Tb[],MATCH($G88,ControlBits_Tb[IR],0),MATCH(S$1,ControlBits_Tb[#Headers],0))</f>
        <v>0</v>
      </c>
      <c r="T88" s="22">
        <f>INDEX(ControlBits_Tb[],MATCH($G88,ControlBits_Tb[IR],0),MATCH(T$1,ControlBits_Tb[#Headers],0))</f>
        <v>0</v>
      </c>
      <c r="U88" s="22">
        <f>INDEX(ControlBits_Tb[],MATCH($G88,ControlBits_Tb[IR],0),MATCH(U$1,ControlBits_Tb[#Headers],0))</f>
        <v>0</v>
      </c>
      <c r="V88" s="22">
        <f>INDEX(ControlBits_Tb[],MATCH($G88,ControlBits_Tb[IR],0),MATCH(V$1,ControlBits_Tb[#Headers],0))</f>
        <v>0</v>
      </c>
      <c r="W88" s="22">
        <f>INDEX(ControlBits_Tb[],MATCH($G88,ControlBits_Tb[IR],0),MATCH(W$1,ControlBits_Tb[#Headers],0))</f>
        <v>0</v>
      </c>
      <c r="X88" s="22">
        <f>INDEX(ControlBits_Tb[],MATCH($G88,ControlBits_Tb[IR],0),MATCH(X$1,ControlBits_Tb[#Headers],0))</f>
        <v>0</v>
      </c>
      <c r="Y88" s="22">
        <f>INDEX(ControlBits_Tb[],MATCH($G88,ControlBits_Tb[IR],0),MATCH(Y$1,ControlBits_Tb[#Headers],0))</f>
        <v>0</v>
      </c>
      <c r="Z88" s="22">
        <f>INDEX(ControlBits_Tb[],MATCH($G88,ControlBits_Tb[IR],0),MATCH(Z$1,ControlBits_Tb[#Headers],0))</f>
        <v>0</v>
      </c>
      <c r="AA88" s="22">
        <f>INDEX(ControlBits_Tb[],MATCH($G88,ControlBits_Tb[IR],0),MATCH(AA$1,ControlBits_Tb[#Headers],0))</f>
        <v>0</v>
      </c>
      <c r="AB88" s="22">
        <f>INDEX(ControlBits_Tb[],MATCH($G88,ControlBits_Tb[IR],0),MATCH(AB$1,ControlBits_Tb[#Headers],0))</f>
        <v>0</v>
      </c>
      <c r="AC88" s="22">
        <f>INDEX(ControlBits_Tb[],MATCH($G88,ControlBits_Tb[IR],0),MATCH(AC$1,ControlBits_Tb[#Headers],0))</f>
        <v>0</v>
      </c>
      <c r="AD88" s="22" t="str">
        <f>INDEX(ControlBits_Tb[],MATCH($G88,ControlBits_Tb[IR],0),MATCH(AD$1,ControlBits_Tb[#Headers],0))</f>
        <v>1d4000</v>
      </c>
      <c r="AE88" s="28" t="str">
        <f>Test[[#This Row],[16진수test]]</f>
        <v>1D4000</v>
      </c>
      <c r="AF88" s="29">
        <f t="shared" si="2"/>
        <v>1</v>
      </c>
      <c r="AG88" s="29">
        <f xml:space="preserve"> Test[[#This Row],[state]]</f>
        <v>0</v>
      </c>
      <c r="AH88" s="29">
        <f t="shared" si="3"/>
        <v>1</v>
      </c>
    </row>
    <row r="89" spans="1:36">
      <c r="A89" s="39"/>
      <c r="B89" s="40"/>
      <c r="C89" s="40"/>
      <c r="D89" s="40"/>
      <c r="E89" s="40"/>
      <c r="F89" s="38">
        <v>1</v>
      </c>
      <c r="G89" s="37" t="s">
        <v>137</v>
      </c>
      <c r="H89" s="22">
        <f>INDEX(ControlBits_Tb[],MATCH($G89,ControlBits_Tb[IR],0),MATCH(H$1,ControlBits_Tb[#Headers],0))</f>
        <v>0</v>
      </c>
      <c r="I89" s="22">
        <f>INDEX(ControlBits_Tb[],MATCH($G89,ControlBits_Tb[IR],0),MATCH(I$1,ControlBits_Tb[#Headers],0))</f>
        <v>0</v>
      </c>
      <c r="J89" s="22">
        <f>INDEX(ControlBits_Tb[],MATCH($G89,ControlBits_Tb[IR],0),MATCH(J$1,ControlBits_Tb[#Headers],0))</f>
        <v>0</v>
      </c>
      <c r="K89" s="22">
        <f>INDEX(ControlBits_Tb[],MATCH($G89,ControlBits_Tb[IR],0),MATCH(K$1,ControlBits_Tb[#Headers],0))</f>
        <v>0</v>
      </c>
      <c r="L89" s="22">
        <f>INDEX(ControlBits_Tb[],MATCH($G89,ControlBits_Tb[IR],0),MATCH(L$1,ControlBits_Tb[#Headers],0))</f>
        <v>0</v>
      </c>
      <c r="M89" s="22">
        <f>INDEX(ControlBits_Tb[],MATCH($G89,ControlBits_Tb[IR],0),MATCH(M$1,ControlBits_Tb[#Headers],0))</f>
        <v>0</v>
      </c>
      <c r="N89" s="22">
        <f>INDEX(ControlBits_Tb[],MATCH($G89,ControlBits_Tb[IR],0),MATCH(N$1,ControlBits_Tb[#Headers],0))</f>
        <v>0</v>
      </c>
      <c r="O89" s="22">
        <f>INDEX(ControlBits_Tb[],MATCH($G89,ControlBits_Tb[IR],0),MATCH(O$1,ControlBits_Tb[#Headers],0))</f>
        <v>0</v>
      </c>
      <c r="P89" s="22">
        <f>INDEX(ControlBits_Tb[],MATCH($G89,ControlBits_Tb[IR],0),MATCH(P$1,ControlBits_Tb[#Headers],0))</f>
        <v>0</v>
      </c>
      <c r="Q89" s="22">
        <f>INDEX(ControlBits_Tb[],MATCH($G89,ControlBits_Tb[IR],0),MATCH(Q$1,ControlBits_Tb[#Headers],0))</f>
        <v>0</v>
      </c>
      <c r="R89" s="22">
        <f>INDEX(ControlBits_Tb[],MATCH($G89,ControlBits_Tb[IR],0),MATCH(R$1,ControlBits_Tb[#Headers],0))</f>
        <v>0</v>
      </c>
      <c r="S89" s="22">
        <f>INDEX(ControlBits_Tb[],MATCH($G89,ControlBits_Tb[IR],0),MATCH(S$1,ControlBits_Tb[#Headers],0))</f>
        <v>0</v>
      </c>
      <c r="T89" s="22">
        <f>INDEX(ControlBits_Tb[],MATCH($G89,ControlBits_Tb[IR],0),MATCH(T$1,ControlBits_Tb[#Headers],0))</f>
        <v>0</v>
      </c>
      <c r="U89" s="22">
        <f>INDEX(ControlBits_Tb[],MATCH($G89,ControlBits_Tb[IR],0),MATCH(U$1,ControlBits_Tb[#Headers],0))</f>
        <v>0</v>
      </c>
      <c r="V89" s="22">
        <f>INDEX(ControlBits_Tb[],MATCH($G89,ControlBits_Tb[IR],0),MATCH(V$1,ControlBits_Tb[#Headers],0))</f>
        <v>0</v>
      </c>
      <c r="W89" s="22">
        <f>INDEX(ControlBits_Tb[],MATCH($G89,ControlBits_Tb[IR],0),MATCH(W$1,ControlBits_Tb[#Headers],0))</f>
        <v>0</v>
      </c>
      <c r="X89" s="22">
        <f>INDEX(ControlBits_Tb[],MATCH($G89,ControlBits_Tb[IR],0),MATCH(X$1,ControlBits_Tb[#Headers],0))</f>
        <v>1</v>
      </c>
      <c r="Y89" s="22">
        <f>INDEX(ControlBits_Tb[],MATCH($G89,ControlBits_Tb[IR],0),MATCH(Y$1,ControlBits_Tb[#Headers],0))</f>
        <v>1</v>
      </c>
      <c r="Z89" s="22">
        <f>INDEX(ControlBits_Tb[],MATCH($G89,ControlBits_Tb[IR],0),MATCH(Z$1,ControlBits_Tb[#Headers],0))</f>
        <v>0</v>
      </c>
      <c r="AA89" s="22">
        <f>INDEX(ControlBits_Tb[],MATCH($G89,ControlBits_Tb[IR],0),MATCH(AA$1,ControlBits_Tb[#Headers],0))</f>
        <v>0</v>
      </c>
      <c r="AB89" s="22">
        <f>INDEX(ControlBits_Tb[],MATCH($G89,ControlBits_Tb[IR],0),MATCH(AB$1,ControlBits_Tb[#Headers],0))</f>
        <v>0</v>
      </c>
      <c r="AC89" s="22">
        <f>INDEX(ControlBits_Tb[],MATCH($G89,ControlBits_Tb[IR],0),MATCH(AC$1,ControlBits_Tb[#Headers],0))</f>
        <v>0</v>
      </c>
      <c r="AD89" s="22" t="str">
        <f>INDEX(ControlBits_Tb[],MATCH($G89,ControlBits_Tb[IR],0),MATCH(AD$1,ControlBits_Tb[#Headers],0))</f>
        <v>000030</v>
      </c>
      <c r="AE89" s="28" t="str">
        <f>Test[[#This Row],[16진수test]]</f>
        <v>000030</v>
      </c>
      <c r="AF89" s="29">
        <f t="shared" si="2"/>
        <v>1</v>
      </c>
      <c r="AG89" s="29">
        <f xml:space="preserve"> Test[[#This Row],[state]]</f>
        <v>1</v>
      </c>
      <c r="AH89" s="29">
        <f t="shared" si="3"/>
        <v>1</v>
      </c>
    </row>
    <row r="90" spans="1:36">
      <c r="A90" s="39"/>
      <c r="B90" s="40"/>
      <c r="C90" s="40"/>
      <c r="D90" s="40"/>
      <c r="E90" s="40"/>
      <c r="F90" s="38">
        <v>2</v>
      </c>
      <c r="G90" s="38" t="s">
        <v>166</v>
      </c>
      <c r="H90" s="22">
        <f>INDEX(ControlBits_Tb[],MATCH($G90,ControlBits_Tb[IR],0),MATCH(H$1,ControlBits_Tb[#Headers],0))</f>
        <v>0</v>
      </c>
      <c r="I90" s="22">
        <f>INDEX(ControlBits_Tb[],MATCH($G90,ControlBits_Tb[IR],0),MATCH(I$1,ControlBits_Tb[#Headers],0))</f>
        <v>0</v>
      </c>
      <c r="J90" s="22">
        <f>INDEX(ControlBits_Tb[],MATCH($G90,ControlBits_Tb[IR],0),MATCH(J$1,ControlBits_Tb[#Headers],0))</f>
        <v>0</v>
      </c>
      <c r="K90" s="22">
        <f>INDEX(ControlBits_Tb[],MATCH($G90,ControlBits_Tb[IR],0),MATCH(K$1,ControlBits_Tb[#Headers],0))</f>
        <v>0</v>
      </c>
      <c r="L90" s="22">
        <f>INDEX(ControlBits_Tb[],MATCH($G90,ControlBits_Tb[IR],0),MATCH(L$1,ControlBits_Tb[#Headers],0))</f>
        <v>0</v>
      </c>
      <c r="M90" s="22">
        <f>INDEX(ControlBits_Tb[],MATCH($G90,ControlBits_Tb[IR],0),MATCH(M$1,ControlBits_Tb[#Headers],0))</f>
        <v>0</v>
      </c>
      <c r="N90" s="22">
        <f>INDEX(ControlBits_Tb[],MATCH($G90,ControlBits_Tb[IR],0),MATCH(N$1,ControlBits_Tb[#Headers],0))</f>
        <v>0</v>
      </c>
      <c r="O90" s="22">
        <f>INDEX(ControlBits_Tb[],MATCH($G90,ControlBits_Tb[IR],0),MATCH(O$1,ControlBits_Tb[#Headers],0))</f>
        <v>0</v>
      </c>
      <c r="P90" s="22">
        <f>INDEX(ControlBits_Tb[],MATCH($G90,ControlBits_Tb[IR],0),MATCH(P$1,ControlBits_Tb[#Headers],0))</f>
        <v>0</v>
      </c>
      <c r="Q90" s="22">
        <f>INDEX(ControlBits_Tb[],MATCH($G90,ControlBits_Tb[IR],0),MATCH(Q$1,ControlBits_Tb[#Headers],0))</f>
        <v>0</v>
      </c>
      <c r="R90" s="22">
        <f>INDEX(ControlBits_Tb[],MATCH($G90,ControlBits_Tb[IR],0),MATCH(R$1,ControlBits_Tb[#Headers],0))</f>
        <v>0</v>
      </c>
      <c r="S90" s="22">
        <f>INDEX(ControlBits_Tb[],MATCH($G90,ControlBits_Tb[IR],0),MATCH(S$1,ControlBits_Tb[#Headers],0))</f>
        <v>0</v>
      </c>
      <c r="T90" s="22">
        <f>INDEX(ControlBits_Tb[],MATCH($G90,ControlBits_Tb[IR],0),MATCH(T$1,ControlBits_Tb[#Headers],0))</f>
        <v>0</v>
      </c>
      <c r="U90" s="22">
        <f>INDEX(ControlBits_Tb[],MATCH($G90,ControlBits_Tb[IR],0),MATCH(U$1,ControlBits_Tb[#Headers],0))</f>
        <v>0</v>
      </c>
      <c r="V90" s="22">
        <f>INDEX(ControlBits_Tb[],MATCH($G90,ControlBits_Tb[IR],0),MATCH(V$1,ControlBits_Tb[#Headers],0))</f>
        <v>0</v>
      </c>
      <c r="W90" s="22">
        <f>INDEX(ControlBits_Tb[],MATCH($G90,ControlBits_Tb[IR],0),MATCH(W$1,ControlBits_Tb[#Headers],0))</f>
        <v>1</v>
      </c>
      <c r="X90" s="22">
        <f>INDEX(ControlBits_Tb[],MATCH($G90,ControlBits_Tb[IR],0),MATCH(X$1,ControlBits_Tb[#Headers],0))</f>
        <v>1</v>
      </c>
      <c r="Y90" s="22">
        <f>INDEX(ControlBits_Tb[],MATCH($G90,ControlBits_Tb[IR],0),MATCH(Y$1,ControlBits_Tb[#Headers],0))</f>
        <v>0</v>
      </c>
      <c r="Z90" s="22">
        <f>INDEX(ControlBits_Tb[],MATCH($G90,ControlBits_Tb[IR],0),MATCH(Z$1,ControlBits_Tb[#Headers],0))</f>
        <v>0</v>
      </c>
      <c r="AA90" s="22">
        <f>INDEX(ControlBits_Tb[],MATCH($G90,ControlBits_Tb[IR],0),MATCH(AA$1,ControlBits_Tb[#Headers],0))</f>
        <v>0</v>
      </c>
      <c r="AB90" s="22">
        <f>INDEX(ControlBits_Tb[],MATCH($G90,ControlBits_Tb[IR],0),MATCH(AB$1,ControlBits_Tb[#Headers],0))</f>
        <v>0</v>
      </c>
      <c r="AC90" s="22">
        <f>INDEX(ControlBits_Tb[],MATCH($G90,ControlBits_Tb[IR],0),MATCH(AC$1,ControlBits_Tb[#Headers],0))</f>
        <v>0</v>
      </c>
      <c r="AD90" s="22" t="str">
        <f>INDEX(ControlBits_Tb[],MATCH($G90,ControlBits_Tb[IR],0),MATCH(AD$1,ControlBits_Tb[#Headers],0))</f>
        <v>000060</v>
      </c>
      <c r="AE90" s="28" t="str">
        <f>Test[[#This Row],[16진수test]]</f>
        <v>000060</v>
      </c>
      <c r="AF90" s="29">
        <f t="shared" si="2"/>
        <v>1</v>
      </c>
      <c r="AG90" s="29">
        <f xml:space="preserve"> Test[[#This Row],[state]]</f>
        <v>2</v>
      </c>
      <c r="AH90" s="29">
        <f t="shared" si="3"/>
        <v>1</v>
      </c>
    </row>
    <row r="91" spans="1:36">
      <c r="A91" s="39"/>
      <c r="B91" s="40"/>
      <c r="C91" s="40"/>
      <c r="D91" s="40"/>
      <c r="E91" s="40"/>
      <c r="F91" s="38">
        <v>6</v>
      </c>
      <c r="G91" s="38" t="s">
        <v>167</v>
      </c>
      <c r="H91" s="22">
        <f>INDEX(ControlBits_Tb[],MATCH($G91,ControlBits_Tb[IR],0),MATCH(H$1,ControlBits_Tb[#Headers],0))</f>
        <v>0</v>
      </c>
      <c r="I91" s="22">
        <f>INDEX(ControlBits_Tb[],MATCH($G91,ControlBits_Tb[IR],0),MATCH(I$1,ControlBits_Tb[#Headers],0))</f>
        <v>0</v>
      </c>
      <c r="J91" s="22">
        <f>INDEX(ControlBits_Tb[],MATCH($G91,ControlBits_Tb[IR],0),MATCH(J$1,ControlBits_Tb[#Headers],0))</f>
        <v>0</v>
      </c>
      <c r="K91" s="22">
        <f>INDEX(ControlBits_Tb[],MATCH($G91,ControlBits_Tb[IR],0),MATCH(K$1,ControlBits_Tb[#Headers],0))</f>
        <v>0</v>
      </c>
      <c r="L91" s="22">
        <f>INDEX(ControlBits_Tb[],MATCH($G91,ControlBits_Tb[IR],0),MATCH(L$1,ControlBits_Tb[#Headers],0))</f>
        <v>1</v>
      </c>
      <c r="M91" s="30">
        <f>INDEX(ControlBits_Tb[],MATCH($G91,ControlBits_Tb[IR],0),MATCH(M$1,ControlBits_Tb[#Headers],0))</f>
        <v>0</v>
      </c>
      <c r="N91" s="22">
        <f>INDEX(ControlBits_Tb[],MATCH($G91,ControlBits_Tb[IR],0),MATCH(N$1,ControlBits_Tb[#Headers],0))</f>
        <v>1</v>
      </c>
      <c r="O91" s="22">
        <f>INDEX(ControlBits_Tb[],MATCH($G91,ControlBits_Tb[IR],0),MATCH(O$1,ControlBits_Tb[#Headers],0))</f>
        <v>0</v>
      </c>
      <c r="P91" s="22">
        <f>INDEX(ControlBits_Tb[],MATCH($G91,ControlBits_Tb[IR],0),MATCH(P$1,ControlBits_Tb[#Headers],0))</f>
        <v>0</v>
      </c>
      <c r="Q91" s="22">
        <f>INDEX(ControlBits_Tb[],MATCH($G91,ControlBits_Tb[IR],0),MATCH(Q$1,ControlBits_Tb[#Headers],0))</f>
        <v>0</v>
      </c>
      <c r="R91" s="22">
        <f>INDEX(ControlBits_Tb[],MATCH($G91,ControlBits_Tb[IR],0),MATCH(R$1,ControlBits_Tb[#Headers],0))</f>
        <v>0</v>
      </c>
      <c r="S91" s="22">
        <f>INDEX(ControlBits_Tb[],MATCH($G91,ControlBits_Tb[IR],0),MATCH(S$1,ControlBits_Tb[#Headers],0))</f>
        <v>0</v>
      </c>
      <c r="T91" s="22">
        <f>INDEX(ControlBits_Tb[],MATCH($G91,ControlBits_Tb[IR],0),MATCH(T$1,ControlBits_Tb[#Headers],0))</f>
        <v>0</v>
      </c>
      <c r="U91" s="22">
        <f>INDEX(ControlBits_Tb[],MATCH($G91,ControlBits_Tb[IR],0),MATCH(U$1,ControlBits_Tb[#Headers],0))</f>
        <v>0</v>
      </c>
      <c r="V91" s="22">
        <f>INDEX(ControlBits_Tb[],MATCH($G91,ControlBits_Tb[IR],0),MATCH(V$1,ControlBits_Tb[#Headers],0))</f>
        <v>0</v>
      </c>
      <c r="W91" s="22">
        <f>INDEX(ControlBits_Tb[],MATCH($G91,ControlBits_Tb[IR],0),MATCH(W$1,ControlBits_Tb[#Headers],0))</f>
        <v>0</v>
      </c>
      <c r="X91" s="22">
        <f>INDEX(ControlBits_Tb[],MATCH($G91,ControlBits_Tb[IR],0),MATCH(X$1,ControlBits_Tb[#Headers],0))</f>
        <v>0</v>
      </c>
      <c r="Y91" s="22">
        <f>INDEX(ControlBits_Tb[],MATCH($G91,ControlBits_Tb[IR],0),MATCH(Y$1,ControlBits_Tb[#Headers],0))</f>
        <v>0</v>
      </c>
      <c r="Z91" s="22">
        <f>INDEX(ControlBits_Tb[],MATCH($G91,ControlBits_Tb[IR],0),MATCH(Z$1,ControlBits_Tb[#Headers],0))</f>
        <v>0</v>
      </c>
      <c r="AA91" s="22">
        <f>INDEX(ControlBits_Tb[],MATCH($G91,ControlBits_Tb[IR],0),MATCH(AA$1,ControlBits_Tb[#Headers],0))</f>
        <v>0</v>
      </c>
      <c r="AB91" s="22">
        <f>INDEX(ControlBits_Tb[],MATCH($G91,ControlBits_Tb[IR],0),MATCH(AB$1,ControlBits_Tb[#Headers],0))</f>
        <v>0</v>
      </c>
      <c r="AC91" s="22">
        <f>INDEX(ControlBits_Tb[],MATCH($G91,ControlBits_Tb[IR],0),MATCH(AC$1,ControlBits_Tb[#Headers],0))</f>
        <v>0</v>
      </c>
      <c r="AD91" s="22" t="str">
        <f>INDEX(ControlBits_Tb[],MATCH($G91,ControlBits_Tb[IR],0),MATCH(AD$1,ControlBits_Tb[#Headers],0))</f>
        <v>028000</v>
      </c>
      <c r="AE91" s="28" t="str">
        <f>Test[[#This Row],[16진수test]]</f>
        <v>028000</v>
      </c>
      <c r="AF91" s="29">
        <f t="shared" si="2"/>
        <v>1</v>
      </c>
      <c r="AG91" s="29">
        <f xml:space="preserve"> Test[[#This Row],[state]]</f>
        <v>6</v>
      </c>
      <c r="AH91" s="29">
        <f t="shared" si="3"/>
        <v>1</v>
      </c>
    </row>
    <row r="92" spans="1:36">
      <c r="A92" s="39">
        <v>22</v>
      </c>
      <c r="B92" s="42" t="s">
        <v>151</v>
      </c>
      <c r="C92" s="42" t="s">
        <v>58</v>
      </c>
      <c r="D92" s="42" t="s">
        <v>72</v>
      </c>
      <c r="E92" s="42" t="s">
        <v>59</v>
      </c>
      <c r="F92" s="38">
        <v>0</v>
      </c>
      <c r="G92" s="37" t="s">
        <v>26</v>
      </c>
      <c r="H92" s="22">
        <f>INDEX(ControlBits_Tb[],MATCH($G92,ControlBits_Tb[IR],0),MATCH(H$1,ControlBits_Tb[#Headers],0))</f>
        <v>0</v>
      </c>
      <c r="I92" s="22">
        <f>INDEX(ControlBits_Tb[],MATCH($G92,ControlBits_Tb[IR],0),MATCH(I$1,ControlBits_Tb[#Headers],0))</f>
        <v>1</v>
      </c>
      <c r="J92" s="22">
        <f>INDEX(ControlBits_Tb[],MATCH($G92,ControlBits_Tb[IR],0),MATCH(J$1,ControlBits_Tb[#Headers],0))</f>
        <v>1</v>
      </c>
      <c r="K92" s="22">
        <f>INDEX(ControlBits_Tb[],MATCH($G92,ControlBits_Tb[IR],0),MATCH(K$1,ControlBits_Tb[#Headers],0))</f>
        <v>1</v>
      </c>
      <c r="L92" s="22">
        <f>INDEX(ControlBits_Tb[],MATCH($G92,ControlBits_Tb[IR],0),MATCH(L$1,ControlBits_Tb[#Headers],0))</f>
        <v>0</v>
      </c>
      <c r="M92" s="22">
        <f>INDEX(ControlBits_Tb[],MATCH($G92,ControlBits_Tb[IR],0),MATCH(M$1,ControlBits_Tb[#Headers],0))</f>
        <v>1</v>
      </c>
      <c r="N92" s="22">
        <f>INDEX(ControlBits_Tb[],MATCH($G92,ControlBits_Tb[IR],0),MATCH(N$1,ControlBits_Tb[#Headers],0))</f>
        <v>0</v>
      </c>
      <c r="O92" s="22">
        <f>INDEX(ControlBits_Tb[],MATCH($G92,ControlBits_Tb[IR],0),MATCH(O$1,ControlBits_Tb[#Headers],0))</f>
        <v>1</v>
      </c>
      <c r="P92" s="22">
        <f>INDEX(ControlBits_Tb[],MATCH($G92,ControlBits_Tb[IR],0),MATCH(P$1,ControlBits_Tb[#Headers],0))</f>
        <v>0</v>
      </c>
      <c r="Q92" s="22">
        <f>INDEX(ControlBits_Tb[],MATCH($G92,ControlBits_Tb[IR],0),MATCH(Q$1,ControlBits_Tb[#Headers],0))</f>
        <v>0</v>
      </c>
      <c r="R92" s="22">
        <f>INDEX(ControlBits_Tb[],MATCH($G92,ControlBits_Tb[IR],0),MATCH(R$1,ControlBits_Tb[#Headers],0))</f>
        <v>0</v>
      </c>
      <c r="S92" s="22">
        <f>INDEX(ControlBits_Tb[],MATCH($G92,ControlBits_Tb[IR],0),MATCH(S$1,ControlBits_Tb[#Headers],0))</f>
        <v>0</v>
      </c>
      <c r="T92" s="22">
        <f>INDEX(ControlBits_Tb[],MATCH($G92,ControlBits_Tb[IR],0),MATCH(T$1,ControlBits_Tb[#Headers],0))</f>
        <v>0</v>
      </c>
      <c r="U92" s="22">
        <f>INDEX(ControlBits_Tb[],MATCH($G92,ControlBits_Tb[IR],0),MATCH(U$1,ControlBits_Tb[#Headers],0))</f>
        <v>0</v>
      </c>
      <c r="V92" s="22">
        <f>INDEX(ControlBits_Tb[],MATCH($G92,ControlBits_Tb[IR],0),MATCH(V$1,ControlBits_Tb[#Headers],0))</f>
        <v>0</v>
      </c>
      <c r="W92" s="22">
        <f>INDEX(ControlBits_Tb[],MATCH($G92,ControlBits_Tb[IR],0),MATCH(W$1,ControlBits_Tb[#Headers],0))</f>
        <v>0</v>
      </c>
      <c r="X92" s="22">
        <f>INDEX(ControlBits_Tb[],MATCH($G92,ControlBits_Tb[IR],0),MATCH(X$1,ControlBits_Tb[#Headers],0))</f>
        <v>0</v>
      </c>
      <c r="Y92" s="22">
        <f>INDEX(ControlBits_Tb[],MATCH($G92,ControlBits_Tb[IR],0),MATCH(Y$1,ControlBits_Tb[#Headers],0))</f>
        <v>0</v>
      </c>
      <c r="Z92" s="22">
        <f>INDEX(ControlBits_Tb[],MATCH($G92,ControlBits_Tb[IR],0),MATCH(Z$1,ControlBits_Tb[#Headers],0))</f>
        <v>0</v>
      </c>
      <c r="AA92" s="22">
        <f>INDEX(ControlBits_Tb[],MATCH($G92,ControlBits_Tb[IR],0),MATCH(AA$1,ControlBits_Tb[#Headers],0))</f>
        <v>0</v>
      </c>
      <c r="AB92" s="22">
        <f>INDEX(ControlBits_Tb[],MATCH($G92,ControlBits_Tb[IR],0),MATCH(AB$1,ControlBits_Tb[#Headers],0))</f>
        <v>0</v>
      </c>
      <c r="AC92" s="22">
        <f>INDEX(ControlBits_Tb[],MATCH($G92,ControlBits_Tb[IR],0),MATCH(AC$1,ControlBits_Tb[#Headers],0))</f>
        <v>0</v>
      </c>
      <c r="AD92" s="22" t="str">
        <f>INDEX(ControlBits_Tb[],MATCH($G92,ControlBits_Tb[IR],0),MATCH(AD$1,ControlBits_Tb[#Headers],0))</f>
        <v>1d4000</v>
      </c>
      <c r="AE92" s="28" t="str">
        <f>Test[[#This Row],[16진수test]]</f>
        <v>1D4000</v>
      </c>
      <c r="AF92" s="29">
        <f t="shared" si="2"/>
        <v>1</v>
      </c>
      <c r="AG92" s="29">
        <f xml:space="preserve"> Test[[#This Row],[state]]</f>
        <v>0</v>
      </c>
      <c r="AH92" s="29">
        <f t="shared" si="3"/>
        <v>1</v>
      </c>
      <c r="AI92" s="1" t="s">
        <v>96</v>
      </c>
      <c r="AJ92" s="13"/>
    </row>
    <row r="93" spans="1:36">
      <c r="A93" s="39"/>
      <c r="B93" s="42"/>
      <c r="C93" s="42"/>
      <c r="D93" s="42"/>
      <c r="E93" s="42"/>
      <c r="F93" s="38">
        <v>1</v>
      </c>
      <c r="G93" s="37" t="s">
        <v>137</v>
      </c>
      <c r="H93" s="22">
        <f>INDEX(ControlBits_Tb[],MATCH($G93,ControlBits_Tb[IR],0),MATCH(H$1,ControlBits_Tb[#Headers],0))</f>
        <v>0</v>
      </c>
      <c r="I93" s="22">
        <f>INDEX(ControlBits_Tb[],MATCH($G93,ControlBits_Tb[IR],0),MATCH(I$1,ControlBits_Tb[#Headers],0))</f>
        <v>0</v>
      </c>
      <c r="J93" s="22">
        <f>INDEX(ControlBits_Tb[],MATCH($G93,ControlBits_Tb[IR],0),MATCH(J$1,ControlBits_Tb[#Headers],0))</f>
        <v>0</v>
      </c>
      <c r="K93" s="22">
        <f>INDEX(ControlBits_Tb[],MATCH($G93,ControlBits_Tb[IR],0),MATCH(K$1,ControlBits_Tb[#Headers],0))</f>
        <v>0</v>
      </c>
      <c r="L93" s="22">
        <f>INDEX(ControlBits_Tb[],MATCH($G93,ControlBits_Tb[IR],0),MATCH(L$1,ControlBits_Tb[#Headers],0))</f>
        <v>0</v>
      </c>
      <c r="M93" s="22">
        <f>INDEX(ControlBits_Tb[],MATCH($G93,ControlBits_Tb[IR],0),MATCH(M$1,ControlBits_Tb[#Headers],0))</f>
        <v>0</v>
      </c>
      <c r="N93" s="22">
        <f>INDEX(ControlBits_Tb[],MATCH($G93,ControlBits_Tb[IR],0),MATCH(N$1,ControlBits_Tb[#Headers],0))</f>
        <v>0</v>
      </c>
      <c r="O93" s="22">
        <f>INDEX(ControlBits_Tb[],MATCH($G93,ControlBits_Tb[IR],0),MATCH(O$1,ControlBits_Tb[#Headers],0))</f>
        <v>0</v>
      </c>
      <c r="P93" s="22">
        <f>INDEX(ControlBits_Tb[],MATCH($G93,ControlBits_Tb[IR],0),MATCH(P$1,ControlBits_Tb[#Headers],0))</f>
        <v>0</v>
      </c>
      <c r="Q93" s="22">
        <f>INDEX(ControlBits_Tb[],MATCH($G93,ControlBits_Tb[IR],0),MATCH(Q$1,ControlBits_Tb[#Headers],0))</f>
        <v>0</v>
      </c>
      <c r="R93" s="22">
        <f>INDEX(ControlBits_Tb[],MATCH($G93,ControlBits_Tb[IR],0),MATCH(R$1,ControlBits_Tb[#Headers],0))</f>
        <v>0</v>
      </c>
      <c r="S93" s="22">
        <f>INDEX(ControlBits_Tb[],MATCH($G93,ControlBits_Tb[IR],0),MATCH(S$1,ControlBits_Tb[#Headers],0))</f>
        <v>0</v>
      </c>
      <c r="T93" s="22">
        <f>INDEX(ControlBits_Tb[],MATCH($G93,ControlBits_Tb[IR],0),MATCH(T$1,ControlBits_Tb[#Headers],0))</f>
        <v>0</v>
      </c>
      <c r="U93" s="22">
        <f>INDEX(ControlBits_Tb[],MATCH($G93,ControlBits_Tb[IR],0),MATCH(U$1,ControlBits_Tb[#Headers],0))</f>
        <v>0</v>
      </c>
      <c r="V93" s="22">
        <f>INDEX(ControlBits_Tb[],MATCH($G93,ControlBits_Tb[IR],0),MATCH(V$1,ControlBits_Tb[#Headers],0))</f>
        <v>0</v>
      </c>
      <c r="W93" s="22">
        <f>INDEX(ControlBits_Tb[],MATCH($G93,ControlBits_Tb[IR],0),MATCH(W$1,ControlBits_Tb[#Headers],0))</f>
        <v>0</v>
      </c>
      <c r="X93" s="22">
        <f>INDEX(ControlBits_Tb[],MATCH($G93,ControlBits_Tb[IR],0),MATCH(X$1,ControlBits_Tb[#Headers],0))</f>
        <v>1</v>
      </c>
      <c r="Y93" s="22">
        <f>INDEX(ControlBits_Tb[],MATCH($G93,ControlBits_Tb[IR],0),MATCH(Y$1,ControlBits_Tb[#Headers],0))</f>
        <v>1</v>
      </c>
      <c r="Z93" s="22">
        <f>INDEX(ControlBits_Tb[],MATCH($G93,ControlBits_Tb[IR],0),MATCH(Z$1,ControlBits_Tb[#Headers],0))</f>
        <v>0</v>
      </c>
      <c r="AA93" s="22">
        <f>INDEX(ControlBits_Tb[],MATCH($G93,ControlBits_Tb[IR],0),MATCH(AA$1,ControlBits_Tb[#Headers],0))</f>
        <v>0</v>
      </c>
      <c r="AB93" s="22">
        <f>INDEX(ControlBits_Tb[],MATCH($G93,ControlBits_Tb[IR],0),MATCH(AB$1,ControlBits_Tb[#Headers],0))</f>
        <v>0</v>
      </c>
      <c r="AC93" s="22">
        <f>INDEX(ControlBits_Tb[],MATCH($G93,ControlBits_Tb[IR],0),MATCH(AC$1,ControlBits_Tb[#Headers],0))</f>
        <v>0</v>
      </c>
      <c r="AD93" s="22" t="str">
        <f>INDEX(ControlBits_Tb[],MATCH($G93,ControlBits_Tb[IR],0),MATCH(AD$1,ControlBits_Tb[#Headers],0))</f>
        <v>000030</v>
      </c>
      <c r="AE93" s="28" t="str">
        <f>Test[[#This Row],[16진수test]]</f>
        <v>000030</v>
      </c>
      <c r="AF93" s="29">
        <f t="shared" si="2"/>
        <v>1</v>
      </c>
      <c r="AG93" s="29">
        <f xml:space="preserve"> Test[[#This Row],[state]]</f>
        <v>1</v>
      </c>
      <c r="AH93" s="29">
        <f t="shared" si="3"/>
        <v>1</v>
      </c>
    </row>
    <row r="94" spans="1:36">
      <c r="A94" s="39"/>
      <c r="B94" s="42"/>
      <c r="C94" s="42"/>
      <c r="D94" s="42"/>
      <c r="E94" s="42"/>
      <c r="F94" s="38">
        <v>5</v>
      </c>
      <c r="G94" s="38" t="s">
        <v>63</v>
      </c>
      <c r="H94" s="22">
        <f>INDEX(ControlBits_Tb[],MATCH($G94,ControlBits_Tb[IR],0),MATCH(H$1,ControlBits_Tb[#Headers],0))</f>
        <v>0</v>
      </c>
      <c r="I94" s="22">
        <f>INDEX(ControlBits_Tb[],MATCH($G94,ControlBits_Tb[IR],0),MATCH(I$1,ControlBits_Tb[#Headers],0))</f>
        <v>1</v>
      </c>
      <c r="J94" s="22">
        <f>INDEX(ControlBits_Tb[],MATCH($G94,ControlBits_Tb[IR],0),MATCH(J$1,ControlBits_Tb[#Headers],0))</f>
        <v>0</v>
      </c>
      <c r="K94" s="22" t="str">
        <f>INDEX(ControlBits_Tb[],MATCH($G94,ControlBits_Tb[IR],0),MATCH(K$1,ControlBits_Tb[#Headers],0))</f>
        <v>ALUZero</v>
      </c>
      <c r="L94" s="22">
        <f>INDEX(ControlBits_Tb[],MATCH($G94,ControlBits_Tb[IR],0),MATCH(L$1,ControlBits_Tb[#Headers],0))</f>
        <v>0</v>
      </c>
      <c r="M94" s="22">
        <f>INDEX(ControlBits_Tb[],MATCH($G94,ControlBits_Tb[IR],0),MATCH(M$1,ControlBits_Tb[#Headers],0))</f>
        <v>0</v>
      </c>
      <c r="N94" s="22">
        <f>INDEX(ControlBits_Tb[],MATCH($G94,ControlBits_Tb[IR],0),MATCH(N$1,ControlBits_Tb[#Headers],0))</f>
        <v>0</v>
      </c>
      <c r="O94" s="22">
        <f>INDEX(ControlBits_Tb[],MATCH($G94,ControlBits_Tb[IR],0),MATCH(O$1,ControlBits_Tb[#Headers],0))</f>
        <v>0</v>
      </c>
      <c r="P94" s="22">
        <f>INDEX(ControlBits_Tb[],MATCH($G94,ControlBits_Tb[IR],0),MATCH(P$1,ControlBits_Tb[#Headers],0))</f>
        <v>0</v>
      </c>
      <c r="Q94" s="22">
        <f>INDEX(ControlBits_Tb[],MATCH($G94,ControlBits_Tb[IR],0),MATCH(Q$1,ControlBits_Tb[#Headers],0))</f>
        <v>0</v>
      </c>
      <c r="R94" s="22">
        <f>INDEX(ControlBits_Tb[],MATCH($G94,ControlBits_Tb[IR],0),MATCH(R$1,ControlBits_Tb[#Headers],0))</f>
        <v>0</v>
      </c>
      <c r="S94" s="22">
        <f>INDEX(ControlBits_Tb[],MATCH($G94,ControlBits_Tb[IR],0),MATCH(S$1,ControlBits_Tb[#Headers],0))</f>
        <v>0</v>
      </c>
      <c r="T94" s="22">
        <f>INDEX(ControlBits_Tb[],MATCH($G94,ControlBits_Tb[IR],0),MATCH(T$1,ControlBits_Tb[#Headers],0))</f>
        <v>0</v>
      </c>
      <c r="U94" s="22">
        <f>INDEX(ControlBits_Tb[],MATCH($G94,ControlBits_Tb[IR],0),MATCH(U$1,ControlBits_Tb[#Headers],0))</f>
        <v>0</v>
      </c>
      <c r="V94" s="22">
        <f>INDEX(ControlBits_Tb[],MATCH($G94,ControlBits_Tb[IR],0),MATCH(V$1,ControlBits_Tb[#Headers],0))</f>
        <v>0</v>
      </c>
      <c r="W94" s="22">
        <f>INDEX(ControlBits_Tb[],MATCH($G94,ControlBits_Tb[IR],0),MATCH(W$1,ControlBits_Tb[#Headers],0))</f>
        <v>1</v>
      </c>
      <c r="X94" s="22">
        <f>INDEX(ControlBits_Tb[],MATCH($G94,ControlBits_Tb[IR],0),MATCH(X$1,ControlBits_Tb[#Headers],0))</f>
        <v>0</v>
      </c>
      <c r="Y94" s="22">
        <f>INDEX(ControlBits_Tb[],MATCH($G94,ControlBits_Tb[IR],0),MATCH(Y$1,ControlBits_Tb[#Headers],0))</f>
        <v>1</v>
      </c>
      <c r="Z94" s="22">
        <f>INDEX(ControlBits_Tb[],MATCH($G94,ControlBits_Tb[IR],0),MATCH(Z$1,ControlBits_Tb[#Headers],0))</f>
        <v>0</v>
      </c>
      <c r="AA94" s="22">
        <f>INDEX(ControlBits_Tb[],MATCH($G94,ControlBits_Tb[IR],0),MATCH(AA$1,ControlBits_Tb[#Headers],0))</f>
        <v>1</v>
      </c>
      <c r="AB94" s="22">
        <f>INDEX(ControlBits_Tb[],MATCH($G94,ControlBits_Tb[IR],0),MATCH(AB$1,ControlBits_Tb[#Headers],0))</f>
        <v>1</v>
      </c>
      <c r="AC94" s="22">
        <f>INDEX(ControlBits_Tb[],MATCH($G94,ControlBits_Tb[IR],0),MATCH(AC$1,ControlBits_Tb[#Headers],0))</f>
        <v>0</v>
      </c>
      <c r="AD94" s="22" t="str">
        <f>INDEX(ControlBits_Tb[],MATCH($G94,ControlBits_Tb[IR],0),MATCH(AD$1,ControlBits_Tb[#Headers],0))</f>
        <v>100056 / 140056</v>
      </c>
      <c r="AE94" s="28" t="e">
        <f>Test[[#This Row],[16진수test]]</f>
        <v>#NUM!</v>
      </c>
      <c r="AF94" s="29" t="e">
        <f t="shared" si="2"/>
        <v>#NUM!</v>
      </c>
      <c r="AG94" s="29">
        <f xml:space="preserve"> Test[[#This Row],[state]]</f>
        <v>5</v>
      </c>
      <c r="AH94" s="29">
        <f t="shared" si="3"/>
        <v>1</v>
      </c>
    </row>
    <row r="95" spans="1:36">
      <c r="A95" s="39">
        <v>23</v>
      </c>
      <c r="B95" s="42" t="s">
        <v>150</v>
      </c>
      <c r="C95" s="42" t="s">
        <v>58</v>
      </c>
      <c r="D95" s="42" t="s">
        <v>73</v>
      </c>
      <c r="E95" s="42" t="s">
        <v>59</v>
      </c>
      <c r="F95" s="38">
        <v>0</v>
      </c>
      <c r="G95" s="37" t="s">
        <v>26</v>
      </c>
      <c r="H95" s="22">
        <f>INDEX(ControlBits_Tb[],MATCH($G95,ControlBits_Tb[IR],0),MATCH(H$1,ControlBits_Tb[#Headers],0))</f>
        <v>0</v>
      </c>
      <c r="I95" s="22">
        <f>INDEX(ControlBits_Tb[],MATCH($G95,ControlBits_Tb[IR],0),MATCH(I$1,ControlBits_Tb[#Headers],0))</f>
        <v>1</v>
      </c>
      <c r="J95" s="22">
        <f>INDEX(ControlBits_Tb[],MATCH($G95,ControlBits_Tb[IR],0),MATCH(J$1,ControlBits_Tb[#Headers],0))</f>
        <v>1</v>
      </c>
      <c r="K95" s="22">
        <f>INDEX(ControlBits_Tb[],MATCH($G95,ControlBits_Tb[IR],0),MATCH(K$1,ControlBits_Tb[#Headers],0))</f>
        <v>1</v>
      </c>
      <c r="L95" s="22">
        <f>INDEX(ControlBits_Tb[],MATCH($G95,ControlBits_Tb[IR],0),MATCH(L$1,ControlBits_Tb[#Headers],0))</f>
        <v>0</v>
      </c>
      <c r="M95" s="22">
        <f>INDEX(ControlBits_Tb[],MATCH($G95,ControlBits_Tb[IR],0),MATCH(M$1,ControlBits_Tb[#Headers],0))</f>
        <v>1</v>
      </c>
      <c r="N95" s="22">
        <f>INDEX(ControlBits_Tb[],MATCH($G95,ControlBits_Tb[IR],0),MATCH(N$1,ControlBits_Tb[#Headers],0))</f>
        <v>0</v>
      </c>
      <c r="O95" s="22">
        <f>INDEX(ControlBits_Tb[],MATCH($G95,ControlBits_Tb[IR],0),MATCH(O$1,ControlBits_Tb[#Headers],0))</f>
        <v>1</v>
      </c>
      <c r="P95" s="22">
        <f>INDEX(ControlBits_Tb[],MATCH($G95,ControlBits_Tb[IR],0),MATCH(P$1,ControlBits_Tb[#Headers],0))</f>
        <v>0</v>
      </c>
      <c r="Q95" s="22">
        <f>INDEX(ControlBits_Tb[],MATCH($G95,ControlBits_Tb[IR],0),MATCH(Q$1,ControlBits_Tb[#Headers],0))</f>
        <v>0</v>
      </c>
      <c r="R95" s="22">
        <f>INDEX(ControlBits_Tb[],MATCH($G95,ControlBits_Tb[IR],0),MATCH(R$1,ControlBits_Tb[#Headers],0))</f>
        <v>0</v>
      </c>
      <c r="S95" s="22">
        <f>INDEX(ControlBits_Tb[],MATCH($G95,ControlBits_Tb[IR],0),MATCH(S$1,ControlBits_Tb[#Headers],0))</f>
        <v>0</v>
      </c>
      <c r="T95" s="22">
        <f>INDEX(ControlBits_Tb[],MATCH($G95,ControlBits_Tb[IR],0),MATCH(T$1,ControlBits_Tb[#Headers],0))</f>
        <v>0</v>
      </c>
      <c r="U95" s="22">
        <f>INDEX(ControlBits_Tb[],MATCH($G95,ControlBits_Tb[IR],0),MATCH(U$1,ControlBits_Tb[#Headers],0))</f>
        <v>0</v>
      </c>
      <c r="V95" s="22">
        <f>INDEX(ControlBits_Tb[],MATCH($G95,ControlBits_Tb[IR],0),MATCH(V$1,ControlBits_Tb[#Headers],0))</f>
        <v>0</v>
      </c>
      <c r="W95" s="22">
        <f>INDEX(ControlBits_Tb[],MATCH($G95,ControlBits_Tb[IR],0),MATCH(W$1,ControlBits_Tb[#Headers],0))</f>
        <v>0</v>
      </c>
      <c r="X95" s="22">
        <f>INDEX(ControlBits_Tb[],MATCH($G95,ControlBits_Tb[IR],0),MATCH(X$1,ControlBits_Tb[#Headers],0))</f>
        <v>0</v>
      </c>
      <c r="Y95" s="22">
        <f>INDEX(ControlBits_Tb[],MATCH($G95,ControlBits_Tb[IR],0),MATCH(Y$1,ControlBits_Tb[#Headers],0))</f>
        <v>0</v>
      </c>
      <c r="Z95" s="22">
        <f>INDEX(ControlBits_Tb[],MATCH($G95,ControlBits_Tb[IR],0),MATCH(Z$1,ControlBits_Tb[#Headers],0))</f>
        <v>0</v>
      </c>
      <c r="AA95" s="22">
        <f>INDEX(ControlBits_Tb[],MATCH($G95,ControlBits_Tb[IR],0),MATCH(AA$1,ControlBits_Tb[#Headers],0))</f>
        <v>0</v>
      </c>
      <c r="AB95" s="22">
        <f>INDEX(ControlBits_Tb[],MATCH($G95,ControlBits_Tb[IR],0),MATCH(AB$1,ControlBits_Tb[#Headers],0))</f>
        <v>0</v>
      </c>
      <c r="AC95" s="22">
        <f>INDEX(ControlBits_Tb[],MATCH($G95,ControlBits_Tb[IR],0),MATCH(AC$1,ControlBits_Tb[#Headers],0))</f>
        <v>0</v>
      </c>
      <c r="AD95" s="22" t="str">
        <f>INDEX(ControlBits_Tb[],MATCH($G95,ControlBits_Tb[IR],0),MATCH(AD$1,ControlBits_Tb[#Headers],0))</f>
        <v>1d4000</v>
      </c>
      <c r="AE95" s="28" t="str">
        <f>Test[[#This Row],[16진수test]]</f>
        <v>1D4000</v>
      </c>
      <c r="AF95" s="29">
        <f t="shared" si="2"/>
        <v>1</v>
      </c>
      <c r="AG95" s="29">
        <f xml:space="preserve"> Test[[#This Row],[state]]</f>
        <v>0</v>
      </c>
      <c r="AH95" s="29">
        <f t="shared" si="3"/>
        <v>1</v>
      </c>
      <c r="AI95" s="1" t="s">
        <v>96</v>
      </c>
      <c r="AJ95" s="13"/>
    </row>
    <row r="96" spans="1:36">
      <c r="A96" s="39"/>
      <c r="B96" s="42"/>
      <c r="C96" s="42"/>
      <c r="D96" s="42"/>
      <c r="E96" s="42"/>
      <c r="F96" s="38">
        <v>1</v>
      </c>
      <c r="G96" s="37" t="s">
        <v>137</v>
      </c>
      <c r="H96" s="22">
        <f>INDEX(ControlBits_Tb[],MATCH($G96,ControlBits_Tb[IR],0),MATCH(H$1,ControlBits_Tb[#Headers],0))</f>
        <v>0</v>
      </c>
      <c r="I96" s="22">
        <f>INDEX(ControlBits_Tb[],MATCH($G96,ControlBits_Tb[IR],0),MATCH(I$1,ControlBits_Tb[#Headers],0))</f>
        <v>0</v>
      </c>
      <c r="J96" s="22">
        <f>INDEX(ControlBits_Tb[],MATCH($G96,ControlBits_Tb[IR],0),MATCH(J$1,ControlBits_Tb[#Headers],0))</f>
        <v>0</v>
      </c>
      <c r="K96" s="22">
        <f>INDEX(ControlBits_Tb[],MATCH($G96,ControlBits_Tb[IR],0),MATCH(K$1,ControlBits_Tb[#Headers],0))</f>
        <v>0</v>
      </c>
      <c r="L96" s="22">
        <f>INDEX(ControlBits_Tb[],MATCH($G96,ControlBits_Tb[IR],0),MATCH(L$1,ControlBits_Tb[#Headers],0))</f>
        <v>0</v>
      </c>
      <c r="M96" s="22">
        <f>INDEX(ControlBits_Tb[],MATCH($G96,ControlBits_Tb[IR],0),MATCH(M$1,ControlBits_Tb[#Headers],0))</f>
        <v>0</v>
      </c>
      <c r="N96" s="22">
        <f>INDEX(ControlBits_Tb[],MATCH($G96,ControlBits_Tb[IR],0),MATCH(N$1,ControlBits_Tb[#Headers],0))</f>
        <v>0</v>
      </c>
      <c r="O96" s="22">
        <f>INDEX(ControlBits_Tb[],MATCH($G96,ControlBits_Tb[IR],0),MATCH(O$1,ControlBits_Tb[#Headers],0))</f>
        <v>0</v>
      </c>
      <c r="P96" s="22">
        <f>INDEX(ControlBits_Tb[],MATCH($G96,ControlBits_Tb[IR],0),MATCH(P$1,ControlBits_Tb[#Headers],0))</f>
        <v>0</v>
      </c>
      <c r="Q96" s="22">
        <f>INDEX(ControlBits_Tb[],MATCH($G96,ControlBits_Tb[IR],0),MATCH(Q$1,ControlBits_Tb[#Headers],0))</f>
        <v>0</v>
      </c>
      <c r="R96" s="22">
        <f>INDEX(ControlBits_Tb[],MATCH($G96,ControlBits_Tb[IR],0),MATCH(R$1,ControlBits_Tb[#Headers],0))</f>
        <v>0</v>
      </c>
      <c r="S96" s="22">
        <f>INDEX(ControlBits_Tb[],MATCH($G96,ControlBits_Tb[IR],0),MATCH(S$1,ControlBits_Tb[#Headers],0))</f>
        <v>0</v>
      </c>
      <c r="T96" s="22">
        <f>INDEX(ControlBits_Tb[],MATCH($G96,ControlBits_Tb[IR],0),MATCH(T$1,ControlBits_Tb[#Headers],0))</f>
        <v>0</v>
      </c>
      <c r="U96" s="22">
        <f>INDEX(ControlBits_Tb[],MATCH($G96,ControlBits_Tb[IR],0),MATCH(U$1,ControlBits_Tb[#Headers],0))</f>
        <v>0</v>
      </c>
      <c r="V96" s="22">
        <f>INDEX(ControlBits_Tb[],MATCH($G96,ControlBits_Tb[IR],0),MATCH(V$1,ControlBits_Tb[#Headers],0))</f>
        <v>0</v>
      </c>
      <c r="W96" s="22">
        <f>INDEX(ControlBits_Tb[],MATCH($G96,ControlBits_Tb[IR],0),MATCH(W$1,ControlBits_Tb[#Headers],0))</f>
        <v>0</v>
      </c>
      <c r="X96" s="22">
        <f>INDEX(ControlBits_Tb[],MATCH($G96,ControlBits_Tb[IR],0),MATCH(X$1,ControlBits_Tb[#Headers],0))</f>
        <v>1</v>
      </c>
      <c r="Y96" s="22">
        <f>INDEX(ControlBits_Tb[],MATCH($G96,ControlBits_Tb[IR],0),MATCH(Y$1,ControlBits_Tb[#Headers],0))</f>
        <v>1</v>
      </c>
      <c r="Z96" s="22">
        <f>INDEX(ControlBits_Tb[],MATCH($G96,ControlBits_Tb[IR],0),MATCH(Z$1,ControlBits_Tb[#Headers],0))</f>
        <v>0</v>
      </c>
      <c r="AA96" s="22">
        <f>INDEX(ControlBits_Tb[],MATCH($G96,ControlBits_Tb[IR],0),MATCH(AA$1,ControlBits_Tb[#Headers],0))</f>
        <v>0</v>
      </c>
      <c r="AB96" s="22">
        <f>INDEX(ControlBits_Tb[],MATCH($G96,ControlBits_Tb[IR],0),MATCH(AB$1,ControlBits_Tb[#Headers],0))</f>
        <v>0</v>
      </c>
      <c r="AC96" s="22">
        <f>INDEX(ControlBits_Tb[],MATCH($G96,ControlBits_Tb[IR],0),MATCH(AC$1,ControlBits_Tb[#Headers],0))</f>
        <v>0</v>
      </c>
      <c r="AD96" s="22" t="str">
        <f>INDEX(ControlBits_Tb[],MATCH($G96,ControlBits_Tb[IR],0),MATCH(AD$1,ControlBits_Tb[#Headers],0))</f>
        <v>000030</v>
      </c>
      <c r="AE96" s="28" t="str">
        <f>Test[[#This Row],[16진수test]]</f>
        <v>000030</v>
      </c>
      <c r="AF96" s="29">
        <f t="shared" si="2"/>
        <v>1</v>
      </c>
      <c r="AG96" s="29">
        <f xml:space="preserve"> Test[[#This Row],[state]]</f>
        <v>1</v>
      </c>
      <c r="AH96" s="29">
        <f t="shared" si="3"/>
        <v>1</v>
      </c>
    </row>
    <row r="97" spans="1:36">
      <c r="A97" s="39"/>
      <c r="B97" s="42"/>
      <c r="C97" s="42"/>
      <c r="D97" s="42"/>
      <c r="E97" s="42"/>
      <c r="F97" s="38">
        <v>5</v>
      </c>
      <c r="G97" s="38" t="s">
        <v>64</v>
      </c>
      <c r="H97" s="22">
        <f>INDEX(ControlBits_Tb[],MATCH($G97,ControlBits_Tb[IR],0),MATCH(H$1,ControlBits_Tb[#Headers],0))</f>
        <v>0</v>
      </c>
      <c r="I97" s="22">
        <f>INDEX(ControlBits_Tb[],MATCH($G97,ControlBits_Tb[IR],0),MATCH(I$1,ControlBits_Tb[#Headers],0))</f>
        <v>1</v>
      </c>
      <c r="J97" s="22">
        <f>INDEX(ControlBits_Tb[],MATCH($G97,ControlBits_Tb[IR],0),MATCH(J$1,ControlBits_Tb[#Headers],0))</f>
        <v>0</v>
      </c>
      <c r="K97" s="22" t="str">
        <f>INDEX(ControlBits_Tb[],MATCH($G97,ControlBits_Tb[IR],0),MATCH(K$1,ControlBits_Tb[#Headers],0))</f>
        <v>!ALUZero</v>
      </c>
      <c r="L97" s="22">
        <f>INDEX(ControlBits_Tb[],MATCH($G97,ControlBits_Tb[IR],0),MATCH(L$1,ControlBits_Tb[#Headers],0))</f>
        <v>0</v>
      </c>
      <c r="M97" s="22">
        <f>INDEX(ControlBits_Tb[],MATCH($G97,ControlBits_Tb[IR],0),MATCH(M$1,ControlBits_Tb[#Headers],0))</f>
        <v>0</v>
      </c>
      <c r="N97" s="22">
        <f>INDEX(ControlBits_Tb[],MATCH($G97,ControlBits_Tb[IR],0),MATCH(N$1,ControlBits_Tb[#Headers],0))</f>
        <v>0</v>
      </c>
      <c r="O97" s="22">
        <f>INDEX(ControlBits_Tb[],MATCH($G97,ControlBits_Tb[IR],0),MATCH(O$1,ControlBits_Tb[#Headers],0))</f>
        <v>0</v>
      </c>
      <c r="P97" s="22">
        <f>INDEX(ControlBits_Tb[],MATCH($G97,ControlBits_Tb[IR],0),MATCH(P$1,ControlBits_Tb[#Headers],0))</f>
        <v>0</v>
      </c>
      <c r="Q97" s="22">
        <f>INDEX(ControlBits_Tb[],MATCH($G97,ControlBits_Tb[IR],0),MATCH(Q$1,ControlBits_Tb[#Headers],0))</f>
        <v>0</v>
      </c>
      <c r="R97" s="22">
        <f>INDEX(ControlBits_Tb[],MATCH($G97,ControlBits_Tb[IR],0),MATCH(R$1,ControlBits_Tb[#Headers],0))</f>
        <v>0</v>
      </c>
      <c r="S97" s="22">
        <f>INDEX(ControlBits_Tb[],MATCH($G97,ControlBits_Tb[IR],0),MATCH(S$1,ControlBits_Tb[#Headers],0))</f>
        <v>0</v>
      </c>
      <c r="T97" s="22">
        <f>INDEX(ControlBits_Tb[],MATCH($G97,ControlBits_Tb[IR],0),MATCH(T$1,ControlBits_Tb[#Headers],0))</f>
        <v>0</v>
      </c>
      <c r="U97" s="22">
        <f>INDEX(ControlBits_Tb[],MATCH($G97,ControlBits_Tb[IR],0),MATCH(U$1,ControlBits_Tb[#Headers],0))</f>
        <v>0</v>
      </c>
      <c r="V97" s="22">
        <f>INDEX(ControlBits_Tb[],MATCH($G97,ControlBits_Tb[IR],0),MATCH(V$1,ControlBits_Tb[#Headers],0))</f>
        <v>0</v>
      </c>
      <c r="W97" s="22">
        <f>INDEX(ControlBits_Tb[],MATCH($G97,ControlBits_Tb[IR],0),MATCH(W$1,ControlBits_Tb[#Headers],0))</f>
        <v>1</v>
      </c>
      <c r="X97" s="22">
        <f>INDEX(ControlBits_Tb[],MATCH($G97,ControlBits_Tb[IR],0),MATCH(X$1,ControlBits_Tb[#Headers],0))</f>
        <v>0</v>
      </c>
      <c r="Y97" s="22">
        <f>INDEX(ControlBits_Tb[],MATCH($G97,ControlBits_Tb[IR],0),MATCH(Y$1,ControlBits_Tb[#Headers],0))</f>
        <v>1</v>
      </c>
      <c r="Z97" s="22">
        <f>INDEX(ControlBits_Tb[],MATCH($G97,ControlBits_Tb[IR],0),MATCH(Z$1,ControlBits_Tb[#Headers],0))</f>
        <v>0</v>
      </c>
      <c r="AA97" s="22">
        <f>INDEX(ControlBits_Tb[],MATCH($G97,ControlBits_Tb[IR],0),MATCH(AA$1,ControlBits_Tb[#Headers],0))</f>
        <v>1</v>
      </c>
      <c r="AB97" s="22">
        <f>INDEX(ControlBits_Tb[],MATCH($G97,ControlBits_Tb[IR],0),MATCH(AB$1,ControlBits_Tb[#Headers],0))</f>
        <v>1</v>
      </c>
      <c r="AC97" s="22">
        <f>INDEX(ControlBits_Tb[],MATCH($G97,ControlBits_Tb[IR],0),MATCH(AC$1,ControlBits_Tb[#Headers],0))</f>
        <v>0</v>
      </c>
      <c r="AD97" s="22" t="str">
        <f>INDEX(ControlBits_Tb[],MATCH($G97,ControlBits_Tb[IR],0),MATCH(AD$1,ControlBits_Tb[#Headers],0))</f>
        <v>100056 / 140056</v>
      </c>
      <c r="AE97" s="28" t="e">
        <f>Test[[#This Row],[16진수test]]</f>
        <v>#NUM!</v>
      </c>
      <c r="AF97" s="29" t="e">
        <f t="shared" si="2"/>
        <v>#NUM!</v>
      </c>
      <c r="AG97" s="29">
        <f xml:space="preserve"> Test[[#This Row],[state]]</f>
        <v>5</v>
      </c>
      <c r="AH97" s="29">
        <f t="shared" si="3"/>
        <v>1</v>
      </c>
    </row>
    <row r="98" spans="1:36">
      <c r="A98" s="39">
        <v>24</v>
      </c>
      <c r="B98" s="42" t="s">
        <v>148</v>
      </c>
      <c r="C98" s="42" t="s">
        <v>65</v>
      </c>
      <c r="D98" s="42" t="s">
        <v>74</v>
      </c>
      <c r="E98" s="42" t="s">
        <v>59</v>
      </c>
      <c r="F98" s="38">
        <v>0</v>
      </c>
      <c r="G98" s="37" t="s">
        <v>26</v>
      </c>
      <c r="H98" s="22">
        <f>INDEX(ControlBits_Tb[],MATCH($G98,ControlBits_Tb[IR],0),MATCH(H$1,ControlBits_Tb[#Headers],0))</f>
        <v>0</v>
      </c>
      <c r="I98" s="22">
        <f>INDEX(ControlBits_Tb[],MATCH($G98,ControlBits_Tb[IR],0),MATCH(I$1,ControlBits_Tb[#Headers],0))</f>
        <v>1</v>
      </c>
      <c r="J98" s="22">
        <f>INDEX(ControlBits_Tb[],MATCH($G98,ControlBits_Tb[IR],0),MATCH(J$1,ControlBits_Tb[#Headers],0))</f>
        <v>1</v>
      </c>
      <c r="K98" s="22">
        <f>INDEX(ControlBits_Tb[],MATCH($G98,ControlBits_Tb[IR],0),MATCH(K$1,ControlBits_Tb[#Headers],0))</f>
        <v>1</v>
      </c>
      <c r="L98" s="22">
        <f>INDEX(ControlBits_Tb[],MATCH($G98,ControlBits_Tb[IR],0),MATCH(L$1,ControlBits_Tb[#Headers],0))</f>
        <v>0</v>
      </c>
      <c r="M98" s="22">
        <f>INDEX(ControlBits_Tb[],MATCH($G98,ControlBits_Tb[IR],0),MATCH(M$1,ControlBits_Tb[#Headers],0))</f>
        <v>1</v>
      </c>
      <c r="N98" s="22">
        <f>INDEX(ControlBits_Tb[],MATCH($G98,ControlBits_Tb[IR],0),MATCH(N$1,ControlBits_Tb[#Headers],0))</f>
        <v>0</v>
      </c>
      <c r="O98" s="22">
        <f>INDEX(ControlBits_Tb[],MATCH($G98,ControlBits_Tb[IR],0),MATCH(O$1,ControlBits_Tb[#Headers],0))</f>
        <v>1</v>
      </c>
      <c r="P98" s="22">
        <f>INDEX(ControlBits_Tb[],MATCH($G98,ControlBits_Tb[IR],0),MATCH(P$1,ControlBits_Tb[#Headers],0))</f>
        <v>0</v>
      </c>
      <c r="Q98" s="22">
        <f>INDEX(ControlBits_Tb[],MATCH($G98,ControlBits_Tb[IR],0),MATCH(Q$1,ControlBits_Tb[#Headers],0))</f>
        <v>0</v>
      </c>
      <c r="R98" s="22">
        <f>INDEX(ControlBits_Tb[],MATCH($G98,ControlBits_Tb[IR],0),MATCH(R$1,ControlBits_Tb[#Headers],0))</f>
        <v>0</v>
      </c>
      <c r="S98" s="22">
        <f>INDEX(ControlBits_Tb[],MATCH($G98,ControlBits_Tb[IR],0),MATCH(S$1,ControlBits_Tb[#Headers],0))</f>
        <v>0</v>
      </c>
      <c r="T98" s="22">
        <f>INDEX(ControlBits_Tb[],MATCH($G98,ControlBits_Tb[IR],0),MATCH(T$1,ControlBits_Tb[#Headers],0))</f>
        <v>0</v>
      </c>
      <c r="U98" s="22">
        <f>INDEX(ControlBits_Tb[],MATCH($G98,ControlBits_Tb[IR],0),MATCH(U$1,ControlBits_Tb[#Headers],0))</f>
        <v>0</v>
      </c>
      <c r="V98" s="22">
        <f>INDEX(ControlBits_Tb[],MATCH($G98,ControlBits_Tb[IR],0),MATCH(V$1,ControlBits_Tb[#Headers],0))</f>
        <v>0</v>
      </c>
      <c r="W98" s="22">
        <f>INDEX(ControlBits_Tb[],MATCH($G98,ControlBits_Tb[IR],0),MATCH(W$1,ControlBits_Tb[#Headers],0))</f>
        <v>0</v>
      </c>
      <c r="X98" s="22">
        <f>INDEX(ControlBits_Tb[],MATCH($G98,ControlBits_Tb[IR],0),MATCH(X$1,ControlBits_Tb[#Headers],0))</f>
        <v>0</v>
      </c>
      <c r="Y98" s="22">
        <f>INDEX(ControlBits_Tb[],MATCH($G98,ControlBits_Tb[IR],0),MATCH(Y$1,ControlBits_Tb[#Headers],0))</f>
        <v>0</v>
      </c>
      <c r="Z98" s="22">
        <f>INDEX(ControlBits_Tb[],MATCH($G98,ControlBits_Tb[IR],0),MATCH(Z$1,ControlBits_Tb[#Headers],0))</f>
        <v>0</v>
      </c>
      <c r="AA98" s="22">
        <f>INDEX(ControlBits_Tb[],MATCH($G98,ControlBits_Tb[IR],0),MATCH(AA$1,ControlBits_Tb[#Headers],0))</f>
        <v>0</v>
      </c>
      <c r="AB98" s="22">
        <f>INDEX(ControlBits_Tb[],MATCH($G98,ControlBits_Tb[IR],0),MATCH(AB$1,ControlBits_Tb[#Headers],0))</f>
        <v>0</v>
      </c>
      <c r="AC98" s="22">
        <f>INDEX(ControlBits_Tb[],MATCH($G98,ControlBits_Tb[IR],0),MATCH(AC$1,ControlBits_Tb[#Headers],0))</f>
        <v>0</v>
      </c>
      <c r="AD98" s="22" t="str">
        <f>INDEX(ControlBits_Tb[],MATCH($G98,ControlBits_Tb[IR],0),MATCH(AD$1,ControlBits_Tb[#Headers],0))</f>
        <v>1d4000</v>
      </c>
      <c r="AE98" s="28" t="str">
        <f>Test[[#This Row],[16진수test]]</f>
        <v>1D4000</v>
      </c>
      <c r="AF98" s="29">
        <f t="shared" si="2"/>
        <v>1</v>
      </c>
      <c r="AG98" s="29">
        <f xml:space="preserve"> Test[[#This Row],[state]]</f>
        <v>0</v>
      </c>
      <c r="AH98" s="29">
        <f t="shared" si="3"/>
        <v>1</v>
      </c>
      <c r="AI98" s="1" t="s">
        <v>97</v>
      </c>
      <c r="AJ98" s="13"/>
    </row>
    <row r="99" spans="1:36">
      <c r="A99" s="39"/>
      <c r="B99" s="42"/>
      <c r="C99" s="42"/>
      <c r="D99" s="42"/>
      <c r="E99" s="42"/>
      <c r="F99" s="38">
        <v>1</v>
      </c>
      <c r="G99" s="37" t="s">
        <v>252</v>
      </c>
      <c r="H99" s="22">
        <f>INDEX(ControlBits_Tb[],MATCH($G99,ControlBits_Tb[IR],0),MATCH(H$1,ControlBits_Tb[#Headers],0))</f>
        <v>0</v>
      </c>
      <c r="I99" s="22">
        <f>INDEX(ControlBits_Tb[],MATCH($G99,ControlBits_Tb[IR],0),MATCH(I$1,ControlBits_Tb[#Headers],0))</f>
        <v>0</v>
      </c>
      <c r="J99" s="22">
        <f>INDEX(ControlBits_Tb[],MATCH($G99,ControlBits_Tb[IR],0),MATCH(J$1,ControlBits_Tb[#Headers],0))</f>
        <v>0</v>
      </c>
      <c r="K99" s="22">
        <f>INDEX(ControlBits_Tb[],MATCH($G99,ControlBits_Tb[IR],0),MATCH(K$1,ControlBits_Tb[#Headers],0))</f>
        <v>1</v>
      </c>
      <c r="L99" s="22">
        <f>INDEX(ControlBits_Tb[],MATCH($G99,ControlBits_Tb[IR],0),MATCH(L$1,ControlBits_Tb[#Headers],0))</f>
        <v>0</v>
      </c>
      <c r="M99" s="22">
        <f>INDEX(ControlBits_Tb[],MATCH($G99,ControlBits_Tb[IR],0),MATCH(M$1,ControlBits_Tb[#Headers],0))</f>
        <v>0</v>
      </c>
      <c r="N99" s="22">
        <f>INDEX(ControlBits_Tb[],MATCH($G99,ControlBits_Tb[IR],0),MATCH(N$1,ControlBits_Tb[#Headers],0))</f>
        <v>0</v>
      </c>
      <c r="O99" s="22">
        <f>INDEX(ControlBits_Tb[],MATCH($G99,ControlBits_Tb[IR],0),MATCH(O$1,ControlBits_Tb[#Headers],0))</f>
        <v>0</v>
      </c>
      <c r="P99" s="22">
        <f>INDEX(ControlBits_Tb[],MATCH($G99,ControlBits_Tb[IR],0),MATCH(P$1,ControlBits_Tb[#Headers],0))</f>
        <v>0</v>
      </c>
      <c r="Q99" s="22">
        <f>INDEX(ControlBits_Tb[],MATCH($G99,ControlBits_Tb[IR],0),MATCH(Q$1,ControlBits_Tb[#Headers],0))</f>
        <v>0</v>
      </c>
      <c r="R99" s="22">
        <f>INDEX(ControlBits_Tb[],MATCH($G99,ControlBits_Tb[IR],0),MATCH(R$1,ControlBits_Tb[#Headers],0))</f>
        <v>0</v>
      </c>
      <c r="S99" s="22">
        <f>INDEX(ControlBits_Tb[],MATCH($G99,ControlBits_Tb[IR],0),MATCH(S$1,ControlBits_Tb[#Headers],0))</f>
        <v>0</v>
      </c>
      <c r="T99" s="22">
        <f>INDEX(ControlBits_Tb[],MATCH($G99,ControlBits_Tb[IR],0),MATCH(T$1,ControlBits_Tb[#Headers],0))</f>
        <v>0</v>
      </c>
      <c r="U99" s="22">
        <f>INDEX(ControlBits_Tb[],MATCH($G99,ControlBits_Tb[IR],0),MATCH(U$1,ControlBits_Tb[#Headers],0))</f>
        <v>0</v>
      </c>
      <c r="V99" s="22">
        <f>INDEX(ControlBits_Tb[],MATCH($G99,ControlBits_Tb[IR],0),MATCH(V$1,ControlBits_Tb[#Headers],0))</f>
        <v>0</v>
      </c>
      <c r="W99" s="22">
        <f>INDEX(ControlBits_Tb[],MATCH($G99,ControlBits_Tb[IR],0),MATCH(W$1,ControlBits_Tb[#Headers],0))</f>
        <v>0</v>
      </c>
      <c r="X99" s="22">
        <f>INDEX(ControlBits_Tb[],MATCH($G99,ControlBits_Tb[IR],0),MATCH(X$1,ControlBits_Tb[#Headers],0))</f>
        <v>1</v>
      </c>
      <c r="Y99" s="22">
        <f>INDEX(ControlBits_Tb[],MATCH($G99,ControlBits_Tb[IR],0),MATCH(Y$1,ControlBits_Tb[#Headers],0))</f>
        <v>1</v>
      </c>
      <c r="Z99" s="22">
        <f>INDEX(ControlBits_Tb[],MATCH($G99,ControlBits_Tb[IR],0),MATCH(Z$1,ControlBits_Tb[#Headers],0))</f>
        <v>0</v>
      </c>
      <c r="AA99" s="22">
        <f>INDEX(ControlBits_Tb[],MATCH($G99,ControlBits_Tb[IR],0),MATCH(AA$1,ControlBits_Tb[#Headers],0))</f>
        <v>0</v>
      </c>
      <c r="AB99" s="22">
        <f>INDEX(ControlBits_Tb[],MATCH($G99,ControlBits_Tb[IR],0),MATCH(AB$1,ControlBits_Tb[#Headers],0))</f>
        <v>0</v>
      </c>
      <c r="AC99" s="22">
        <f>INDEX(ControlBits_Tb[],MATCH($G99,ControlBits_Tb[IR],0),MATCH(AC$1,ControlBits_Tb[#Headers],0))</f>
        <v>0</v>
      </c>
      <c r="AD99" s="22" t="str">
        <f>INDEX(ControlBits_Tb[],MATCH($G99,ControlBits_Tb[IR],0),MATCH(AD$1,ControlBits_Tb[#Headers],0))</f>
        <v>040030</v>
      </c>
      <c r="AE99" s="28" t="str">
        <f>Test[[#This Row],[16진수test]]</f>
        <v>040030</v>
      </c>
      <c r="AF99" s="29">
        <f t="shared" si="2"/>
        <v>1</v>
      </c>
      <c r="AG99" s="29">
        <f xml:space="preserve"> Test[[#This Row],[state]]</f>
        <v>1</v>
      </c>
      <c r="AH99" s="29">
        <f t="shared" si="3"/>
        <v>1</v>
      </c>
    </row>
    <row r="100" spans="1:36">
      <c r="A100" s="39">
        <v>25</v>
      </c>
      <c r="B100" s="42" t="s">
        <v>149</v>
      </c>
      <c r="C100" s="42" t="s">
        <v>65</v>
      </c>
      <c r="D100" s="42" t="s">
        <v>75</v>
      </c>
      <c r="E100" s="42" t="s">
        <v>59</v>
      </c>
      <c r="F100" s="38">
        <v>0</v>
      </c>
      <c r="G100" s="37" t="s">
        <v>26</v>
      </c>
      <c r="H100" s="22">
        <f>INDEX(ControlBits_Tb[],MATCH($G100,ControlBits_Tb[IR],0),MATCH(H$1,ControlBits_Tb[#Headers],0))</f>
        <v>0</v>
      </c>
      <c r="I100" s="22">
        <f>INDEX(ControlBits_Tb[],MATCH($G100,ControlBits_Tb[IR],0),MATCH(I$1,ControlBits_Tb[#Headers],0))</f>
        <v>1</v>
      </c>
      <c r="J100" s="22">
        <f>INDEX(ControlBits_Tb[],MATCH($G100,ControlBits_Tb[IR],0),MATCH(J$1,ControlBits_Tb[#Headers],0))</f>
        <v>1</v>
      </c>
      <c r="K100" s="22">
        <f>INDEX(ControlBits_Tb[],MATCH($G100,ControlBits_Tb[IR],0),MATCH(K$1,ControlBits_Tb[#Headers],0))</f>
        <v>1</v>
      </c>
      <c r="L100" s="22">
        <f>INDEX(ControlBits_Tb[],MATCH($G100,ControlBits_Tb[IR],0),MATCH(L$1,ControlBits_Tb[#Headers],0))</f>
        <v>0</v>
      </c>
      <c r="M100" s="22">
        <f>INDEX(ControlBits_Tb[],MATCH($G100,ControlBits_Tb[IR],0),MATCH(M$1,ControlBits_Tb[#Headers],0))</f>
        <v>1</v>
      </c>
      <c r="N100" s="22">
        <f>INDEX(ControlBits_Tb[],MATCH($G100,ControlBits_Tb[IR],0),MATCH(N$1,ControlBits_Tb[#Headers],0))</f>
        <v>0</v>
      </c>
      <c r="O100" s="22">
        <f>INDEX(ControlBits_Tb[],MATCH($G100,ControlBits_Tb[IR],0),MATCH(O$1,ControlBits_Tb[#Headers],0))</f>
        <v>1</v>
      </c>
      <c r="P100" s="22">
        <f>INDEX(ControlBits_Tb[],MATCH($G100,ControlBits_Tb[IR],0),MATCH(P$1,ControlBits_Tb[#Headers],0))</f>
        <v>0</v>
      </c>
      <c r="Q100" s="22">
        <f>INDEX(ControlBits_Tb[],MATCH($G100,ControlBits_Tb[IR],0),MATCH(Q$1,ControlBits_Tb[#Headers],0))</f>
        <v>0</v>
      </c>
      <c r="R100" s="22">
        <f>INDEX(ControlBits_Tb[],MATCH($G100,ControlBits_Tb[IR],0),MATCH(R$1,ControlBits_Tb[#Headers],0))</f>
        <v>0</v>
      </c>
      <c r="S100" s="22">
        <f>INDEX(ControlBits_Tb[],MATCH($G100,ControlBits_Tb[IR],0),MATCH(S$1,ControlBits_Tb[#Headers],0))</f>
        <v>0</v>
      </c>
      <c r="T100" s="22">
        <f>INDEX(ControlBits_Tb[],MATCH($G100,ControlBits_Tb[IR],0),MATCH(T$1,ControlBits_Tb[#Headers],0))</f>
        <v>0</v>
      </c>
      <c r="U100" s="22">
        <f>INDEX(ControlBits_Tb[],MATCH($G100,ControlBits_Tb[IR],0),MATCH(U$1,ControlBits_Tb[#Headers],0))</f>
        <v>0</v>
      </c>
      <c r="V100" s="22">
        <f>INDEX(ControlBits_Tb[],MATCH($G100,ControlBits_Tb[IR],0),MATCH(V$1,ControlBits_Tb[#Headers],0))</f>
        <v>0</v>
      </c>
      <c r="W100" s="22">
        <f>INDEX(ControlBits_Tb[],MATCH($G100,ControlBits_Tb[IR],0),MATCH(W$1,ControlBits_Tb[#Headers],0))</f>
        <v>0</v>
      </c>
      <c r="X100" s="22">
        <f>INDEX(ControlBits_Tb[],MATCH($G100,ControlBits_Tb[IR],0),MATCH(X$1,ControlBits_Tb[#Headers],0))</f>
        <v>0</v>
      </c>
      <c r="Y100" s="22">
        <f>INDEX(ControlBits_Tb[],MATCH($G100,ControlBits_Tb[IR],0),MATCH(Y$1,ControlBits_Tb[#Headers],0))</f>
        <v>0</v>
      </c>
      <c r="Z100" s="22">
        <f>INDEX(ControlBits_Tb[],MATCH($G100,ControlBits_Tb[IR],0),MATCH(Z$1,ControlBits_Tb[#Headers],0))</f>
        <v>0</v>
      </c>
      <c r="AA100" s="22">
        <f>INDEX(ControlBits_Tb[],MATCH($G100,ControlBits_Tb[IR],0),MATCH(AA$1,ControlBits_Tb[#Headers],0))</f>
        <v>0</v>
      </c>
      <c r="AB100" s="22">
        <f>INDEX(ControlBits_Tb[],MATCH($G100,ControlBits_Tb[IR],0),MATCH(AB$1,ControlBits_Tb[#Headers],0))</f>
        <v>0</v>
      </c>
      <c r="AC100" s="22">
        <f>INDEX(ControlBits_Tb[],MATCH($G100,ControlBits_Tb[IR],0),MATCH(AC$1,ControlBits_Tb[#Headers],0))</f>
        <v>0</v>
      </c>
      <c r="AD100" s="22" t="str">
        <f>INDEX(ControlBits_Tb[],MATCH($G100,ControlBits_Tb[IR],0),MATCH(AD$1,ControlBits_Tb[#Headers],0))</f>
        <v>1d4000</v>
      </c>
      <c r="AE100" s="28" t="str">
        <f>Test[[#This Row],[16진수test]]</f>
        <v>1D4000</v>
      </c>
      <c r="AF100" s="29">
        <f t="shared" si="2"/>
        <v>1</v>
      </c>
      <c r="AG100" s="29">
        <f xml:space="preserve"> Test[[#This Row],[state]]</f>
        <v>0</v>
      </c>
      <c r="AH100" s="29">
        <f t="shared" si="3"/>
        <v>1</v>
      </c>
      <c r="AI100" s="1" t="s">
        <v>98</v>
      </c>
      <c r="AJ100" s="13"/>
    </row>
    <row r="101" spans="1:36">
      <c r="A101" s="39"/>
      <c r="B101" s="42"/>
      <c r="C101" s="42"/>
      <c r="D101" s="42"/>
      <c r="E101" s="42"/>
      <c r="F101" s="38">
        <v>1</v>
      </c>
      <c r="G101" s="37" t="s">
        <v>251</v>
      </c>
      <c r="H101" s="22">
        <f>INDEX(ControlBits_Tb[],MATCH($G101,ControlBits_Tb[IR],0),MATCH(H$1,ControlBits_Tb[#Headers],0))</f>
        <v>0</v>
      </c>
      <c r="I101" s="22">
        <f>INDEX(ControlBits_Tb[],MATCH($G101,ControlBits_Tb[IR],0),MATCH(I$1,ControlBits_Tb[#Headers],0))</f>
        <v>0</v>
      </c>
      <c r="J101" s="22">
        <f>INDEX(ControlBits_Tb[],MATCH($G101,ControlBits_Tb[IR],0),MATCH(J$1,ControlBits_Tb[#Headers],0))</f>
        <v>0</v>
      </c>
      <c r="K101" s="22">
        <f>INDEX(ControlBits_Tb[],MATCH($G101,ControlBits_Tb[IR],0),MATCH(K$1,ControlBits_Tb[#Headers],0))</f>
        <v>1</v>
      </c>
      <c r="L101" s="22">
        <f>INDEX(ControlBits_Tb[],MATCH($G101,ControlBits_Tb[IR],0),MATCH(L$1,ControlBits_Tb[#Headers],0))</f>
        <v>0</v>
      </c>
      <c r="M101" s="22">
        <f>INDEX(ControlBits_Tb[],MATCH($G101,ControlBits_Tb[IR],0),MATCH(M$1,ControlBits_Tb[#Headers],0))</f>
        <v>0</v>
      </c>
      <c r="N101" s="22">
        <f>INDEX(ControlBits_Tb[],MATCH($G101,ControlBits_Tb[IR],0),MATCH(N$1,ControlBits_Tb[#Headers],0))</f>
        <v>0</v>
      </c>
      <c r="O101" s="22">
        <f>INDEX(ControlBits_Tb[],MATCH($G101,ControlBits_Tb[IR],0),MATCH(O$1,ControlBits_Tb[#Headers],0))</f>
        <v>0</v>
      </c>
      <c r="P101" s="22">
        <f>INDEX(ControlBits_Tb[],MATCH($G101,ControlBits_Tb[IR],0),MATCH(P$1,ControlBits_Tb[#Headers],0))</f>
        <v>1</v>
      </c>
      <c r="Q101" s="22">
        <f>INDEX(ControlBits_Tb[],MATCH($G101,ControlBits_Tb[IR],0),MATCH(Q$1,ControlBits_Tb[#Headers],0))</f>
        <v>1</v>
      </c>
      <c r="R101" s="22">
        <f>INDEX(ControlBits_Tb[],MATCH($G101,ControlBits_Tb[IR],0),MATCH(R$1,ControlBits_Tb[#Headers],0))</f>
        <v>0</v>
      </c>
      <c r="S101" s="22">
        <f>INDEX(ControlBits_Tb[],MATCH($G101,ControlBits_Tb[IR],0),MATCH(S$1,ControlBits_Tb[#Headers],0))</f>
        <v>1</v>
      </c>
      <c r="T101" s="22">
        <f>INDEX(ControlBits_Tb[],MATCH($G101,ControlBits_Tb[IR],0),MATCH(T$1,ControlBits_Tb[#Headers],0))</f>
        <v>0</v>
      </c>
      <c r="U101" s="22">
        <f>INDEX(ControlBits_Tb[],MATCH($G101,ControlBits_Tb[IR],0),MATCH(U$1,ControlBits_Tb[#Headers],0))</f>
        <v>0</v>
      </c>
      <c r="V101" s="22">
        <f>INDEX(ControlBits_Tb[],MATCH($G101,ControlBits_Tb[IR],0),MATCH(V$1,ControlBits_Tb[#Headers],0))</f>
        <v>0</v>
      </c>
      <c r="W101" s="22">
        <f>INDEX(ControlBits_Tb[],MATCH($G101,ControlBits_Tb[IR],0),MATCH(W$1,ControlBits_Tb[#Headers],0))</f>
        <v>0</v>
      </c>
      <c r="X101" s="22">
        <f>INDEX(ControlBits_Tb[],MATCH($G101,ControlBits_Tb[IR],0),MATCH(X$1,ControlBits_Tb[#Headers],0))</f>
        <v>1</v>
      </c>
      <c r="Y101" s="22">
        <f>INDEX(ControlBits_Tb[],MATCH($G101,ControlBits_Tb[IR],0),MATCH(Y$1,ControlBits_Tb[#Headers],0))</f>
        <v>1</v>
      </c>
      <c r="Z101" s="22">
        <f>INDEX(ControlBits_Tb[],MATCH($G101,ControlBits_Tb[IR],0),MATCH(Z$1,ControlBits_Tb[#Headers],0))</f>
        <v>0</v>
      </c>
      <c r="AA101" s="22">
        <f>INDEX(ControlBits_Tb[],MATCH($G101,ControlBits_Tb[IR],0),MATCH(AA$1,ControlBits_Tb[#Headers],0))</f>
        <v>0</v>
      </c>
      <c r="AB101" s="22">
        <f>INDEX(ControlBits_Tb[],MATCH($G101,ControlBits_Tb[IR],0),MATCH(AB$1,ControlBits_Tb[#Headers],0))</f>
        <v>0</v>
      </c>
      <c r="AC101" s="22">
        <f>INDEX(ControlBits_Tb[],MATCH($G101,ControlBits_Tb[IR],0),MATCH(AC$1,ControlBits_Tb[#Headers],0))</f>
        <v>0</v>
      </c>
      <c r="AD101" s="22" t="str">
        <f>INDEX(ControlBits_Tb[],MATCH($G101,ControlBits_Tb[IR],0),MATCH(AD$1,ControlBits_Tb[#Headers],0))</f>
        <v>043430</v>
      </c>
      <c r="AE101" s="28" t="str">
        <f>Test[[#This Row],[16진수test]]</f>
        <v>043430</v>
      </c>
      <c r="AF101" s="29">
        <f t="shared" si="2"/>
        <v>1</v>
      </c>
      <c r="AG101" s="29">
        <f xml:space="preserve"> Test[[#This Row],[state]]</f>
        <v>1</v>
      </c>
      <c r="AH101" s="29">
        <f t="shared" si="3"/>
        <v>1</v>
      </c>
    </row>
    <row r="102" spans="1:36">
      <c r="AF102" s="9" t="s">
        <v>288</v>
      </c>
      <c r="AH102" s="35">
        <f>AVERAGE(AH2:AH101)</f>
        <v>1</v>
      </c>
    </row>
  </sheetData>
  <autoFilter ref="A1:AJ101" xr:uid="{A11D0FA5-86A7-4A49-89E6-B7D572B5CE72}"/>
  <mergeCells count="133">
    <mergeCell ref="AJ48:AJ52"/>
    <mergeCell ref="AJ53:AJ56"/>
    <mergeCell ref="AJ57:AJ60"/>
    <mergeCell ref="B67:B70"/>
    <mergeCell ref="C67:C70"/>
    <mergeCell ref="D67:D70"/>
    <mergeCell ref="E67:E70"/>
    <mergeCell ref="A100:A101"/>
    <mergeCell ref="B100:B101"/>
    <mergeCell ref="C100:C101"/>
    <mergeCell ref="D100:D101"/>
    <mergeCell ref="E100:E101"/>
    <mergeCell ref="A95:A97"/>
    <mergeCell ref="B95:B97"/>
    <mergeCell ref="C95:C97"/>
    <mergeCell ref="D95:D97"/>
    <mergeCell ref="E95:E97"/>
    <mergeCell ref="A98:A99"/>
    <mergeCell ref="B98:B99"/>
    <mergeCell ref="C98:C99"/>
    <mergeCell ref="D98:D99"/>
    <mergeCell ref="E98:E99"/>
    <mergeCell ref="A83:A87"/>
    <mergeCell ref="B83:B87"/>
    <mergeCell ref="A67:A70"/>
    <mergeCell ref="E45:E47"/>
    <mergeCell ref="C83:C87"/>
    <mergeCell ref="D83:D87"/>
    <mergeCell ref="E83:E87"/>
    <mergeCell ref="A92:A94"/>
    <mergeCell ref="B92:B94"/>
    <mergeCell ref="C92:C94"/>
    <mergeCell ref="D92:D94"/>
    <mergeCell ref="E92:E94"/>
    <mergeCell ref="A88:A91"/>
    <mergeCell ref="B88:B91"/>
    <mergeCell ref="C88:C91"/>
    <mergeCell ref="D88:D91"/>
    <mergeCell ref="E88:E91"/>
    <mergeCell ref="A75:A78"/>
    <mergeCell ref="B75:B78"/>
    <mergeCell ref="C75:C78"/>
    <mergeCell ref="D75:D78"/>
    <mergeCell ref="E75:E78"/>
    <mergeCell ref="A79:A82"/>
    <mergeCell ref="B79:B82"/>
    <mergeCell ref="C79:C82"/>
    <mergeCell ref="D79:D82"/>
    <mergeCell ref="E79:E82"/>
    <mergeCell ref="E63:E66"/>
    <mergeCell ref="A71:A74"/>
    <mergeCell ref="B71:B74"/>
    <mergeCell ref="C71:C74"/>
    <mergeCell ref="D71:D74"/>
    <mergeCell ref="E71:E74"/>
    <mergeCell ref="A22:A25"/>
    <mergeCell ref="A26:A29"/>
    <mergeCell ref="A63:A66"/>
    <mergeCell ref="B63:B66"/>
    <mergeCell ref="C63:C66"/>
    <mergeCell ref="D63:D66"/>
    <mergeCell ref="A58:A62"/>
    <mergeCell ref="B58:B62"/>
    <mergeCell ref="C58:C62"/>
    <mergeCell ref="D58:D62"/>
    <mergeCell ref="E58:E62"/>
    <mergeCell ref="E48:E52"/>
    <mergeCell ref="A53:A57"/>
    <mergeCell ref="B53:B57"/>
    <mergeCell ref="C53:C57"/>
    <mergeCell ref="D53:D57"/>
    <mergeCell ref="E53:E57"/>
    <mergeCell ref="E42:E44"/>
    <mergeCell ref="A2:A5"/>
    <mergeCell ref="A6:A9"/>
    <mergeCell ref="A10:A13"/>
    <mergeCell ref="A14:A17"/>
    <mergeCell ref="A18:A21"/>
    <mergeCell ref="A48:A52"/>
    <mergeCell ref="B48:B52"/>
    <mergeCell ref="C48:C52"/>
    <mergeCell ref="D48:D52"/>
    <mergeCell ref="A42:A44"/>
    <mergeCell ref="B42:B44"/>
    <mergeCell ref="C42:C44"/>
    <mergeCell ref="D42:D44"/>
    <mergeCell ref="A45:A47"/>
    <mergeCell ref="B45:B47"/>
    <mergeCell ref="C45:C47"/>
    <mergeCell ref="D45:D47"/>
    <mergeCell ref="B6:B9"/>
    <mergeCell ref="C6:C9"/>
    <mergeCell ref="D6:D9"/>
    <mergeCell ref="B22:B25"/>
    <mergeCell ref="C22:C25"/>
    <mergeCell ref="D22:D25"/>
    <mergeCell ref="E6:E9"/>
    <mergeCell ref="B2:B5"/>
    <mergeCell ref="C2:C5"/>
    <mergeCell ref="D2:D5"/>
    <mergeCell ref="E2:E5"/>
    <mergeCell ref="B14:B17"/>
    <mergeCell ref="C14:C17"/>
    <mergeCell ref="D14:D17"/>
    <mergeCell ref="E14:E17"/>
    <mergeCell ref="B10:B13"/>
    <mergeCell ref="C10:C13"/>
    <mergeCell ref="D10:D13"/>
    <mergeCell ref="E10:E13"/>
    <mergeCell ref="B18:B21"/>
    <mergeCell ref="C18:C21"/>
    <mergeCell ref="D18:D21"/>
    <mergeCell ref="E18:E21"/>
    <mergeCell ref="A30:A33"/>
    <mergeCell ref="B30:B33"/>
    <mergeCell ref="C30:C33"/>
    <mergeCell ref="D30:D33"/>
    <mergeCell ref="E30:E33"/>
    <mergeCell ref="B26:B29"/>
    <mergeCell ref="C26:C29"/>
    <mergeCell ref="D26:D29"/>
    <mergeCell ref="E26:E29"/>
    <mergeCell ref="A34:A37"/>
    <mergeCell ref="B34:B37"/>
    <mergeCell ref="C34:C37"/>
    <mergeCell ref="D34:D37"/>
    <mergeCell ref="E34:E37"/>
    <mergeCell ref="A38:A41"/>
    <mergeCell ref="B38:B41"/>
    <mergeCell ref="C38:C41"/>
    <mergeCell ref="E22:E25"/>
    <mergeCell ref="D38:D41"/>
    <mergeCell ref="E38:E41"/>
  </mergeCells>
  <phoneticPr fontId="5" type="noConversion"/>
  <conditionalFormatting sqref="H2:AH101 AH102">
    <cfRule type="cellIs" dxfId="31" priority="4" operator="equal">
      <formula>0</formula>
    </cfRule>
    <cfRule type="cellIs" dxfId="30" priority="5" operator="equal">
      <formula>1</formula>
    </cfRule>
    <cfRule type="cellIs" dxfId="29" priority="6" operator="equal">
      <formula>"?"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BC44-1389-45B7-B0FA-FF0B311CF33E}">
  <dimension ref="A1:AB37"/>
  <sheetViews>
    <sheetView zoomScale="70" zoomScaleNormal="70" workbookViewId="0">
      <pane ySplit="1" topLeftCell="A2" activePane="bottomLeft" state="frozen"/>
      <selection pane="bottomLeft" activeCell="Q40" sqref="Q40"/>
    </sheetView>
  </sheetViews>
  <sheetFormatPr defaultRowHeight="17.399999999999999"/>
  <cols>
    <col min="1" max="1" width="7" customWidth="1"/>
    <col min="2" max="2" width="10.69921875" bestFit="1" customWidth="1"/>
    <col min="3" max="3" width="11.8984375" customWidth="1"/>
    <col min="4" max="5" width="8.69921875" customWidth="1"/>
    <col min="6" max="6" width="9.8984375" customWidth="1"/>
    <col min="7" max="7" width="10.69921875" customWidth="1"/>
    <col min="8" max="8" width="11.59765625" customWidth="1"/>
    <col min="9" max="9" width="12.09765625" customWidth="1"/>
    <col min="10" max="10" width="9.296875" customWidth="1"/>
    <col min="11" max="11" width="10.8984375" customWidth="1"/>
    <col min="12" max="13" width="10.09765625" customWidth="1"/>
    <col min="14" max="14" width="10.296875" customWidth="1"/>
    <col min="15" max="16" width="11.09765625" customWidth="1"/>
    <col min="17" max="20" width="11.296875" customWidth="1"/>
    <col min="21" max="22" width="10.69921875" customWidth="1"/>
    <col min="23" max="24" width="10.296875" customWidth="1"/>
    <col min="25" max="25" width="16.5" bestFit="1" customWidth="1"/>
    <col min="26" max="26" width="18.296875" bestFit="1" customWidth="1"/>
    <col min="27" max="27" width="11.5" bestFit="1" customWidth="1"/>
  </cols>
  <sheetData>
    <row r="1" spans="1:28">
      <c r="A1" s="25" t="s">
        <v>99</v>
      </c>
      <c r="B1" s="25" t="s">
        <v>161</v>
      </c>
      <c r="C1" s="26" t="s">
        <v>100</v>
      </c>
      <c r="D1" s="26" t="s">
        <v>109</v>
      </c>
      <c r="E1" s="26" t="s">
        <v>108</v>
      </c>
      <c r="F1" s="26" t="s">
        <v>101</v>
      </c>
      <c r="G1" s="27" t="s">
        <v>102</v>
      </c>
      <c r="H1" s="27" t="s">
        <v>103</v>
      </c>
      <c r="I1" s="27" t="s">
        <v>105</v>
      </c>
      <c r="J1" s="27" t="s">
        <v>104</v>
      </c>
      <c r="K1" s="26" t="s">
        <v>106</v>
      </c>
      <c r="L1" s="26" t="s">
        <v>111</v>
      </c>
      <c r="M1" s="26" t="s">
        <v>110</v>
      </c>
      <c r="N1" s="26" t="s">
        <v>107</v>
      </c>
      <c r="O1" s="26" t="s">
        <v>112</v>
      </c>
      <c r="P1" s="26" t="s">
        <v>113</v>
      </c>
      <c r="Q1" s="27" t="s">
        <v>114</v>
      </c>
      <c r="R1" s="27" t="s">
        <v>117</v>
      </c>
      <c r="S1" s="27" t="s">
        <v>115</v>
      </c>
      <c r="T1" s="27" t="s">
        <v>116</v>
      </c>
      <c r="U1" s="27" t="s">
        <v>209</v>
      </c>
      <c r="V1" s="27" t="s">
        <v>210</v>
      </c>
      <c r="W1" s="27" t="s">
        <v>118</v>
      </c>
      <c r="X1" s="27" t="s">
        <v>119</v>
      </c>
      <c r="Y1" s="27" t="s">
        <v>180</v>
      </c>
      <c r="Z1" s="27" t="s">
        <v>135</v>
      </c>
      <c r="AA1" s="27" t="s">
        <v>136</v>
      </c>
      <c r="AB1" s="27" t="s">
        <v>177</v>
      </c>
    </row>
    <row r="2" spans="1:28">
      <c r="A2" s="18" t="s">
        <v>120</v>
      </c>
      <c r="B2" s="18" t="s">
        <v>26</v>
      </c>
      <c r="C2" s="7">
        <v>0</v>
      </c>
      <c r="D2" s="7">
        <v>1</v>
      </c>
      <c r="E2" s="7">
        <v>1</v>
      </c>
      <c r="F2" s="7">
        <v>1</v>
      </c>
      <c r="G2" s="7">
        <v>0</v>
      </c>
      <c r="H2" s="7">
        <v>1</v>
      </c>
      <c r="I2" s="7">
        <v>0</v>
      </c>
      <c r="J2" s="7">
        <v>1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23" t="s">
        <v>181</v>
      </c>
      <c r="Z2" s="9" t="s">
        <v>175</v>
      </c>
      <c r="AA2" s="20" t="s">
        <v>138</v>
      </c>
      <c r="AB2" s="17" t="s">
        <v>178</v>
      </c>
    </row>
    <row r="3" spans="1:28">
      <c r="A3" s="18" t="s">
        <v>121</v>
      </c>
      <c r="B3" s="18" t="s">
        <v>137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1</v>
      </c>
      <c r="T3" s="7">
        <v>1</v>
      </c>
      <c r="U3" s="7">
        <v>0</v>
      </c>
      <c r="V3" s="7">
        <v>0</v>
      </c>
      <c r="W3" s="7">
        <v>0</v>
      </c>
      <c r="X3" s="7">
        <v>0</v>
      </c>
      <c r="Y3" s="23" t="s">
        <v>182</v>
      </c>
      <c r="Z3" s="9" t="s">
        <v>276</v>
      </c>
      <c r="AA3" s="20" t="s">
        <v>138</v>
      </c>
      <c r="AB3" s="17" t="s">
        <v>178</v>
      </c>
    </row>
    <row r="4" spans="1:28">
      <c r="A4" s="18" t="s">
        <v>121</v>
      </c>
      <c r="B4" s="31" t="s">
        <v>252</v>
      </c>
      <c r="C4" s="7">
        <v>0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7">
        <v>1</v>
      </c>
      <c r="U4" s="7">
        <v>0</v>
      </c>
      <c r="V4" s="7">
        <v>0</v>
      </c>
      <c r="W4" s="7">
        <v>0</v>
      </c>
      <c r="X4" s="7">
        <v>0</v>
      </c>
      <c r="Y4" s="24" t="s">
        <v>270</v>
      </c>
      <c r="Z4" s="9" t="s">
        <v>273</v>
      </c>
      <c r="AA4" s="20"/>
      <c r="AB4" s="17" t="s">
        <v>178</v>
      </c>
    </row>
    <row r="5" spans="1:28">
      <c r="A5" s="18" t="s">
        <v>121</v>
      </c>
      <c r="B5" s="31" t="s">
        <v>251</v>
      </c>
      <c r="C5" s="7">
        <v>0</v>
      </c>
      <c r="D5" s="7">
        <v>0</v>
      </c>
      <c r="E5" s="7">
        <v>0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1</v>
      </c>
      <c r="M5" s="7">
        <v>0</v>
      </c>
      <c r="N5" s="7">
        <v>1</v>
      </c>
      <c r="O5" s="7">
        <v>0</v>
      </c>
      <c r="P5" s="7">
        <v>0</v>
      </c>
      <c r="Q5" s="7">
        <v>0</v>
      </c>
      <c r="R5" s="7">
        <v>0</v>
      </c>
      <c r="S5" s="7">
        <v>1</v>
      </c>
      <c r="T5" s="7">
        <v>1</v>
      </c>
      <c r="U5" s="7">
        <v>0</v>
      </c>
      <c r="V5" s="7">
        <v>0</v>
      </c>
      <c r="W5" s="7">
        <v>0</v>
      </c>
      <c r="X5" s="7">
        <v>0</v>
      </c>
      <c r="Y5" s="24" t="s">
        <v>272</v>
      </c>
      <c r="Z5" s="9" t="s">
        <v>279</v>
      </c>
      <c r="AA5" s="20"/>
      <c r="AB5" s="17" t="s">
        <v>178</v>
      </c>
    </row>
    <row r="6" spans="1:28">
      <c r="A6" s="19">
        <v>2</v>
      </c>
      <c r="B6" s="19" t="s">
        <v>163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1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23" t="s">
        <v>184</v>
      </c>
      <c r="Z6" s="9" t="s">
        <v>274</v>
      </c>
      <c r="AA6" s="9" t="s">
        <v>152</v>
      </c>
      <c r="AB6" s="17" t="s">
        <v>178</v>
      </c>
    </row>
    <row r="7" spans="1:28">
      <c r="A7" s="19">
        <v>2</v>
      </c>
      <c r="B7" s="19" t="s">
        <v>166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1</v>
      </c>
      <c r="S7" s="7">
        <v>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23" t="s">
        <v>184</v>
      </c>
      <c r="Z7" s="9" t="s">
        <v>275</v>
      </c>
      <c r="AA7" s="9" t="s">
        <v>152</v>
      </c>
      <c r="AB7" s="17" t="s">
        <v>178</v>
      </c>
    </row>
    <row r="8" spans="1:28">
      <c r="A8" s="19">
        <v>3</v>
      </c>
      <c r="B8" s="19" t="s">
        <v>164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24" t="s">
        <v>185</v>
      </c>
      <c r="Z8" s="1" t="s">
        <v>153</v>
      </c>
      <c r="AA8" s="9"/>
      <c r="AB8" s="17" t="s">
        <v>178</v>
      </c>
    </row>
    <row r="9" spans="1:28">
      <c r="A9" s="19">
        <v>4</v>
      </c>
      <c r="B9" s="19" t="s">
        <v>165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23" t="s">
        <v>186</v>
      </c>
      <c r="Z9" s="1" t="s">
        <v>46</v>
      </c>
      <c r="AA9" s="9"/>
      <c r="AB9" s="17" t="s">
        <v>178</v>
      </c>
    </row>
    <row r="10" spans="1:28">
      <c r="A10" s="19">
        <v>5</v>
      </c>
      <c r="B10" s="19" t="s">
        <v>85</v>
      </c>
      <c r="C10" s="7">
        <v>0</v>
      </c>
      <c r="D10" s="7">
        <v>0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23" t="s">
        <v>268</v>
      </c>
      <c r="Z10" s="1" t="s">
        <v>97</v>
      </c>
      <c r="AA10" s="9"/>
      <c r="AB10" s="17" t="s">
        <v>178</v>
      </c>
    </row>
    <row r="11" spans="1:28">
      <c r="A11" s="19">
        <v>5</v>
      </c>
      <c r="B11" s="19" t="s">
        <v>253</v>
      </c>
      <c r="C11" s="7">
        <v>1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23" t="s">
        <v>269</v>
      </c>
      <c r="Z11" s="9" t="s">
        <v>277</v>
      </c>
      <c r="AA11" s="9"/>
      <c r="AB11" s="17" t="s">
        <v>178</v>
      </c>
    </row>
    <row r="12" spans="1:28">
      <c r="A12" s="19">
        <v>5</v>
      </c>
      <c r="B12" s="19" t="s">
        <v>151</v>
      </c>
      <c r="C12" s="7">
        <v>0</v>
      </c>
      <c r="D12" s="7">
        <v>1</v>
      </c>
      <c r="E12" s="7">
        <v>0</v>
      </c>
      <c r="F12" s="21" t="s">
        <v>159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</v>
      </c>
      <c r="S12" s="7">
        <v>0</v>
      </c>
      <c r="T12" s="7">
        <v>1</v>
      </c>
      <c r="U12" s="7">
        <v>0</v>
      </c>
      <c r="V12" s="7">
        <v>1</v>
      </c>
      <c r="W12" s="7">
        <v>1</v>
      </c>
      <c r="X12" s="7">
        <v>0</v>
      </c>
      <c r="Y12" s="23" t="s">
        <v>188</v>
      </c>
      <c r="Z12" s="9" t="s">
        <v>278</v>
      </c>
      <c r="AA12" s="9"/>
      <c r="AB12" s="17" t="s">
        <v>178</v>
      </c>
    </row>
    <row r="13" spans="1:28">
      <c r="A13" s="19">
        <v>5</v>
      </c>
      <c r="B13" s="19" t="s">
        <v>150</v>
      </c>
      <c r="C13" s="7">
        <v>0</v>
      </c>
      <c r="D13" s="7">
        <v>1</v>
      </c>
      <c r="E13" s="7">
        <v>0</v>
      </c>
      <c r="F13" s="21" t="s">
        <v>160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1</v>
      </c>
      <c r="S13" s="7">
        <v>0</v>
      </c>
      <c r="T13" s="7">
        <v>1</v>
      </c>
      <c r="U13" s="7">
        <v>0</v>
      </c>
      <c r="V13" s="7">
        <v>1</v>
      </c>
      <c r="W13" s="7">
        <v>1</v>
      </c>
      <c r="X13" s="7">
        <v>0</v>
      </c>
      <c r="Y13" s="23" t="s">
        <v>188</v>
      </c>
      <c r="Z13" s="9" t="s">
        <v>278</v>
      </c>
      <c r="AA13" s="9"/>
      <c r="AB13" s="17" t="s">
        <v>178</v>
      </c>
    </row>
    <row r="14" spans="1:28">
      <c r="A14" s="19">
        <v>6</v>
      </c>
      <c r="B14" s="19" t="s">
        <v>167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23" t="s">
        <v>189</v>
      </c>
      <c r="Z14" s="1" t="s">
        <v>46</v>
      </c>
      <c r="AA14" s="9"/>
      <c r="AB14" s="17" t="s">
        <v>178</v>
      </c>
    </row>
    <row r="15" spans="1:28">
      <c r="A15" s="19">
        <v>7</v>
      </c>
      <c r="B15" s="19" t="s">
        <v>122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1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23" t="s">
        <v>190</v>
      </c>
      <c r="Z15" s="9" t="s">
        <v>158</v>
      </c>
      <c r="AA15" s="20" t="s">
        <v>138</v>
      </c>
      <c r="AB15" s="17" t="s">
        <v>178</v>
      </c>
    </row>
    <row r="16" spans="1:28">
      <c r="A16" s="19">
        <v>7</v>
      </c>
      <c r="B16" s="19" t="s">
        <v>124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1</v>
      </c>
      <c r="S16" s="7">
        <v>0</v>
      </c>
      <c r="T16" s="7">
        <v>1</v>
      </c>
      <c r="U16" s="7">
        <v>0</v>
      </c>
      <c r="V16" s="7">
        <v>1</v>
      </c>
      <c r="W16" s="7">
        <v>0</v>
      </c>
      <c r="X16" s="7">
        <v>0</v>
      </c>
      <c r="Y16" s="23" t="s">
        <v>267</v>
      </c>
      <c r="Z16" s="9" t="s">
        <v>158</v>
      </c>
      <c r="AA16" s="20" t="s">
        <v>138</v>
      </c>
      <c r="AB16" s="17" t="s">
        <v>178</v>
      </c>
    </row>
    <row r="17" spans="1:28">
      <c r="A17" s="19">
        <v>7</v>
      </c>
      <c r="B17" s="19" t="s">
        <v>125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1</v>
      </c>
      <c r="S17" s="7">
        <v>0</v>
      </c>
      <c r="T17" s="7">
        <v>1</v>
      </c>
      <c r="U17" s="7">
        <v>0</v>
      </c>
      <c r="V17" s="7">
        <v>0</v>
      </c>
      <c r="W17" s="7">
        <v>0</v>
      </c>
      <c r="X17" s="7">
        <v>1</v>
      </c>
      <c r="Y17" s="23" t="s">
        <v>197</v>
      </c>
      <c r="Z17" s="9" t="s">
        <v>158</v>
      </c>
      <c r="AA17" s="9" t="s">
        <v>139</v>
      </c>
      <c r="AB17" s="17" t="s">
        <v>178</v>
      </c>
    </row>
    <row r="18" spans="1:28">
      <c r="A18" s="19">
        <v>7</v>
      </c>
      <c r="B18" s="19" t="s">
        <v>126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7">
        <v>0</v>
      </c>
      <c r="T18" s="7">
        <v>1</v>
      </c>
      <c r="U18" s="7">
        <v>0</v>
      </c>
      <c r="V18" s="7">
        <v>1</v>
      </c>
      <c r="W18" s="7">
        <v>0</v>
      </c>
      <c r="X18" s="7">
        <v>1</v>
      </c>
      <c r="Y18" s="23" t="s">
        <v>198</v>
      </c>
      <c r="Z18" s="9" t="s">
        <v>158</v>
      </c>
      <c r="AA18" s="9" t="s">
        <v>139</v>
      </c>
      <c r="AB18" s="17" t="s">
        <v>178</v>
      </c>
    </row>
    <row r="19" spans="1:28">
      <c r="A19" s="19">
        <v>7</v>
      </c>
      <c r="B19" s="19" t="s">
        <v>127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1</v>
      </c>
      <c r="S19" s="7">
        <v>0</v>
      </c>
      <c r="T19" s="7">
        <v>1</v>
      </c>
      <c r="U19" s="7">
        <v>1</v>
      </c>
      <c r="V19" s="7">
        <v>0</v>
      </c>
      <c r="W19" s="7">
        <v>0</v>
      </c>
      <c r="X19" s="7">
        <v>1</v>
      </c>
      <c r="Y19" s="23" t="s">
        <v>199</v>
      </c>
      <c r="Z19" s="9" t="s">
        <v>158</v>
      </c>
      <c r="AA19" s="9" t="s">
        <v>139</v>
      </c>
      <c r="AB19" s="17" t="s">
        <v>178</v>
      </c>
    </row>
    <row r="20" spans="1:28">
      <c r="A20" s="19">
        <v>7</v>
      </c>
      <c r="B20" s="19" t="s">
        <v>76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S20" s="7">
        <v>0</v>
      </c>
      <c r="T20" s="7">
        <v>1</v>
      </c>
      <c r="U20" s="7">
        <v>1</v>
      </c>
      <c r="V20" s="7">
        <v>1</v>
      </c>
      <c r="W20" s="7">
        <v>0</v>
      </c>
      <c r="X20" s="7">
        <v>1</v>
      </c>
      <c r="Y20" s="23" t="s">
        <v>191</v>
      </c>
      <c r="Z20" s="9" t="s">
        <v>158</v>
      </c>
      <c r="AA20" s="9" t="s">
        <v>139</v>
      </c>
      <c r="AB20" s="17" t="s">
        <v>178</v>
      </c>
    </row>
    <row r="21" spans="1:28">
      <c r="A21" s="19">
        <v>7</v>
      </c>
      <c r="B21" s="19" t="s">
        <v>141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1</v>
      </c>
      <c r="S21" s="7">
        <v>0</v>
      </c>
      <c r="T21" s="7">
        <v>1</v>
      </c>
      <c r="U21" s="7">
        <v>0</v>
      </c>
      <c r="V21" s="7">
        <v>0</v>
      </c>
      <c r="W21" s="7">
        <v>1</v>
      </c>
      <c r="X21" s="7">
        <v>0</v>
      </c>
      <c r="Y21" s="23" t="s">
        <v>200</v>
      </c>
      <c r="Z21" s="9" t="s">
        <v>158</v>
      </c>
      <c r="AA21" s="9" t="s">
        <v>176</v>
      </c>
      <c r="AB21" s="17" t="s">
        <v>178</v>
      </c>
    </row>
    <row r="22" spans="1:28">
      <c r="A22" s="19">
        <v>7</v>
      </c>
      <c r="B22" s="19" t="s">
        <v>79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1</v>
      </c>
      <c r="T22" s="7">
        <v>0</v>
      </c>
      <c r="U22" s="7">
        <v>0</v>
      </c>
      <c r="V22" s="7">
        <v>1</v>
      </c>
      <c r="W22" s="7">
        <v>1</v>
      </c>
      <c r="X22" s="7">
        <v>0</v>
      </c>
      <c r="Y22" s="23" t="s">
        <v>187</v>
      </c>
      <c r="Z22" s="9" t="s">
        <v>158</v>
      </c>
      <c r="AA22" s="9" t="s">
        <v>176</v>
      </c>
      <c r="AB22" s="17" t="s">
        <v>178</v>
      </c>
    </row>
    <row r="23" spans="1:28">
      <c r="A23" s="19">
        <v>7</v>
      </c>
      <c r="B23" s="19" t="s">
        <v>128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1</v>
      </c>
      <c r="S23" s="7">
        <v>1</v>
      </c>
      <c r="T23" s="7">
        <v>0</v>
      </c>
      <c r="U23" s="7">
        <v>1</v>
      </c>
      <c r="V23" s="7">
        <v>0</v>
      </c>
      <c r="W23" s="7">
        <v>1</v>
      </c>
      <c r="X23" s="7">
        <v>0</v>
      </c>
      <c r="Y23" s="23" t="s">
        <v>192</v>
      </c>
      <c r="Z23" s="9" t="s">
        <v>158</v>
      </c>
      <c r="AA23" s="9" t="s">
        <v>176</v>
      </c>
      <c r="AB23" s="17" t="s">
        <v>178</v>
      </c>
    </row>
    <row r="24" spans="1:28">
      <c r="A24" s="19">
        <v>7</v>
      </c>
      <c r="B24" s="19" t="s">
        <v>80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1</v>
      </c>
      <c r="S24" s="7">
        <v>1</v>
      </c>
      <c r="T24" s="7">
        <v>0</v>
      </c>
      <c r="U24" s="7">
        <v>1</v>
      </c>
      <c r="V24" s="7">
        <v>1</v>
      </c>
      <c r="W24" s="7">
        <v>1</v>
      </c>
      <c r="X24" s="7">
        <v>0</v>
      </c>
      <c r="Y24" s="23" t="s">
        <v>193</v>
      </c>
      <c r="Z24" s="9" t="s">
        <v>158</v>
      </c>
      <c r="AA24" s="9" t="s">
        <v>176</v>
      </c>
      <c r="AB24" s="17" t="s">
        <v>178</v>
      </c>
    </row>
    <row r="25" spans="1:28">
      <c r="A25" s="19">
        <v>7</v>
      </c>
      <c r="B25" s="19" t="s">
        <v>129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1</v>
      </c>
      <c r="S25" s="7">
        <v>1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23" t="s">
        <v>183</v>
      </c>
      <c r="Z25" s="9" t="s">
        <v>158</v>
      </c>
      <c r="AA25" s="20" t="s">
        <v>138</v>
      </c>
      <c r="AB25" s="17" t="s">
        <v>178</v>
      </c>
    </row>
    <row r="26" spans="1:28">
      <c r="A26" s="19">
        <v>7</v>
      </c>
      <c r="B26" s="19" t="s">
        <v>142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1</v>
      </c>
      <c r="T26" s="7">
        <v>0</v>
      </c>
      <c r="U26" s="7">
        <v>0</v>
      </c>
      <c r="V26" s="7">
        <v>1</v>
      </c>
      <c r="W26" s="7">
        <v>0</v>
      </c>
      <c r="X26" s="7">
        <v>0</v>
      </c>
      <c r="Y26" s="23" t="s">
        <v>201</v>
      </c>
      <c r="Z26" s="9" t="s">
        <v>158</v>
      </c>
      <c r="AA26" s="20" t="s">
        <v>138</v>
      </c>
      <c r="AB26" s="17" t="s">
        <v>178</v>
      </c>
    </row>
    <row r="27" spans="1:28">
      <c r="A27" s="19">
        <v>7</v>
      </c>
      <c r="B27" s="19" t="s">
        <v>130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</v>
      </c>
      <c r="S27" s="7">
        <v>1</v>
      </c>
      <c r="T27" s="7">
        <v>0</v>
      </c>
      <c r="U27" s="7">
        <v>0</v>
      </c>
      <c r="V27" s="7">
        <v>0</v>
      </c>
      <c r="W27" s="7">
        <v>0</v>
      </c>
      <c r="X27" s="7">
        <v>1</v>
      </c>
      <c r="Y27" s="23" t="s">
        <v>202</v>
      </c>
      <c r="Z27" s="9" t="s">
        <v>158</v>
      </c>
      <c r="AA27" s="9" t="s">
        <v>139</v>
      </c>
      <c r="AB27" s="17" t="s">
        <v>178</v>
      </c>
    </row>
    <row r="28" spans="1:28">
      <c r="A28" s="19">
        <v>7</v>
      </c>
      <c r="B28" s="19" t="s">
        <v>131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1</v>
      </c>
      <c r="S28" s="7">
        <v>1</v>
      </c>
      <c r="T28" s="7">
        <v>0</v>
      </c>
      <c r="U28" s="7">
        <v>0</v>
      </c>
      <c r="V28" s="7">
        <v>1</v>
      </c>
      <c r="W28" s="7">
        <v>0</v>
      </c>
      <c r="X28" s="7">
        <v>1</v>
      </c>
      <c r="Y28" s="23" t="s">
        <v>203</v>
      </c>
      <c r="Z28" s="9" t="s">
        <v>158</v>
      </c>
      <c r="AA28" s="9" t="s">
        <v>139</v>
      </c>
      <c r="AB28" s="17" t="s">
        <v>178</v>
      </c>
    </row>
    <row r="29" spans="1:28">
      <c r="A29" s="19">
        <v>7</v>
      </c>
      <c r="B29" s="19" t="s">
        <v>132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1</v>
      </c>
      <c r="S29" s="7">
        <v>1</v>
      </c>
      <c r="T29" s="7">
        <v>0</v>
      </c>
      <c r="U29" s="7">
        <v>1</v>
      </c>
      <c r="V29" s="7">
        <v>0</v>
      </c>
      <c r="W29" s="7">
        <v>0</v>
      </c>
      <c r="X29" s="7">
        <v>1</v>
      </c>
      <c r="Y29" s="23" t="s">
        <v>204</v>
      </c>
      <c r="Z29" s="9" t="s">
        <v>158</v>
      </c>
      <c r="AA29" s="9" t="s">
        <v>139</v>
      </c>
      <c r="AB29" s="17" t="s">
        <v>178</v>
      </c>
    </row>
    <row r="30" spans="1:28">
      <c r="A30" s="19">
        <v>7</v>
      </c>
      <c r="B30" s="19" t="s">
        <v>143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</v>
      </c>
      <c r="S30" s="7">
        <v>1</v>
      </c>
      <c r="T30" s="7">
        <v>0</v>
      </c>
      <c r="U30" s="7">
        <v>1</v>
      </c>
      <c r="V30" s="7">
        <v>1</v>
      </c>
      <c r="W30" s="7">
        <v>0</v>
      </c>
      <c r="X30" s="7">
        <v>1</v>
      </c>
      <c r="Y30" s="23" t="s">
        <v>194</v>
      </c>
      <c r="Z30" s="9" t="s">
        <v>158</v>
      </c>
      <c r="AA30" s="9" t="s">
        <v>139</v>
      </c>
      <c r="AB30" s="17" t="s">
        <v>178</v>
      </c>
    </row>
    <row r="31" spans="1:28">
      <c r="A31" s="19">
        <v>8</v>
      </c>
      <c r="B31" s="19" t="s">
        <v>168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</v>
      </c>
      <c r="L31" s="7">
        <v>0</v>
      </c>
      <c r="M31" s="7">
        <v>1</v>
      </c>
      <c r="N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23" t="s">
        <v>195</v>
      </c>
      <c r="Z31" s="1" t="s">
        <v>46</v>
      </c>
      <c r="AA31" s="9"/>
      <c r="AB31" s="17" t="s">
        <v>178</v>
      </c>
    </row>
    <row r="32" spans="1:28">
      <c r="A32" s="19">
        <v>8</v>
      </c>
      <c r="B32" s="19" t="s">
        <v>170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1</v>
      </c>
      <c r="L32" s="7">
        <v>0</v>
      </c>
      <c r="M32" s="7">
        <v>0</v>
      </c>
      <c r="N32" s="7">
        <v>1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23" t="s">
        <v>205</v>
      </c>
      <c r="Z32" s="1" t="s">
        <v>46</v>
      </c>
      <c r="AA32" s="9"/>
      <c r="AB32" s="17" t="s">
        <v>178</v>
      </c>
    </row>
    <row r="33" spans="1:28">
      <c r="A33" s="19">
        <v>9</v>
      </c>
      <c r="B33" s="19" t="s">
        <v>144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</v>
      </c>
      <c r="R33" s="7">
        <v>0</v>
      </c>
      <c r="S33" s="7">
        <v>0</v>
      </c>
      <c r="T33" s="7">
        <v>1</v>
      </c>
      <c r="U33" s="7">
        <v>1</v>
      </c>
      <c r="V33" s="7">
        <v>0</v>
      </c>
      <c r="W33" s="7">
        <v>0</v>
      </c>
      <c r="X33" s="7">
        <v>1</v>
      </c>
      <c r="Y33" s="23" t="s">
        <v>206</v>
      </c>
      <c r="Z33" s="9" t="s">
        <v>157</v>
      </c>
      <c r="AA33" s="9" t="s">
        <v>139</v>
      </c>
      <c r="AB33" s="17" t="s">
        <v>178</v>
      </c>
    </row>
    <row r="34" spans="1:28">
      <c r="A34" s="19">
        <v>9</v>
      </c>
      <c r="B34" s="19" t="s">
        <v>145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1</v>
      </c>
      <c r="R34" s="7">
        <v>0</v>
      </c>
      <c r="S34" s="7">
        <v>0</v>
      </c>
      <c r="T34" s="7">
        <v>1</v>
      </c>
      <c r="U34" s="7">
        <v>1</v>
      </c>
      <c r="V34" s="7">
        <v>0</v>
      </c>
      <c r="W34" s="7">
        <v>0</v>
      </c>
      <c r="X34" s="7">
        <v>1</v>
      </c>
      <c r="Y34" s="23" t="s">
        <v>206</v>
      </c>
      <c r="Z34" s="9" t="s">
        <v>157</v>
      </c>
      <c r="AA34" s="9" t="s">
        <v>139</v>
      </c>
      <c r="AB34" s="17" t="s">
        <v>178</v>
      </c>
    </row>
    <row r="35" spans="1:28">
      <c r="A35" s="19">
        <v>10</v>
      </c>
      <c r="B35" s="19" t="s">
        <v>146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1</v>
      </c>
      <c r="P35" s="7">
        <v>1</v>
      </c>
      <c r="Q35" s="7">
        <v>0</v>
      </c>
      <c r="R35" s="7">
        <v>1</v>
      </c>
      <c r="S35" s="7">
        <v>0</v>
      </c>
      <c r="T35" s="7">
        <v>1</v>
      </c>
      <c r="U35" s="7">
        <v>1</v>
      </c>
      <c r="V35" s="7">
        <v>0</v>
      </c>
      <c r="W35" s="7">
        <v>0</v>
      </c>
      <c r="X35" s="7">
        <v>1</v>
      </c>
      <c r="Y35" s="23" t="s">
        <v>207</v>
      </c>
      <c r="Z35" s="9" t="s">
        <v>155</v>
      </c>
      <c r="AA35" s="9" t="s">
        <v>139</v>
      </c>
      <c r="AB35" s="17" t="s">
        <v>178</v>
      </c>
    </row>
    <row r="36" spans="1:28">
      <c r="A36" s="19">
        <v>11</v>
      </c>
      <c r="B36" s="19" t="s">
        <v>147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1</v>
      </c>
      <c r="L36" s="7">
        <v>0</v>
      </c>
      <c r="M36" s="7">
        <v>0</v>
      </c>
      <c r="N36" s="7">
        <v>1</v>
      </c>
      <c r="O36" s="7">
        <v>0</v>
      </c>
      <c r="P36" s="7">
        <v>0</v>
      </c>
      <c r="Q36" s="7">
        <v>0</v>
      </c>
      <c r="R36" s="7">
        <v>1</v>
      </c>
      <c r="S36" s="7">
        <v>0</v>
      </c>
      <c r="T36" s="7">
        <v>1</v>
      </c>
      <c r="U36" s="7">
        <v>1</v>
      </c>
      <c r="V36" s="7">
        <v>0</v>
      </c>
      <c r="W36" s="7">
        <v>0</v>
      </c>
      <c r="X36" s="7">
        <v>1</v>
      </c>
      <c r="Y36" s="23" t="s">
        <v>208</v>
      </c>
      <c r="Z36" s="9" t="s">
        <v>156</v>
      </c>
      <c r="AA36" s="9" t="s">
        <v>139</v>
      </c>
      <c r="AB36" s="17" t="s">
        <v>178</v>
      </c>
    </row>
    <row r="37" spans="1:28">
      <c r="A37" s="19">
        <v>12</v>
      </c>
      <c r="B37" s="19" t="s">
        <v>162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1</v>
      </c>
      <c r="L37" s="7">
        <v>1</v>
      </c>
      <c r="M37" s="7">
        <v>1</v>
      </c>
      <c r="N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23" t="s">
        <v>196</v>
      </c>
      <c r="Z37" s="1" t="s">
        <v>154</v>
      </c>
      <c r="AA37" s="9"/>
      <c r="AB37" s="17" t="s">
        <v>178</v>
      </c>
    </row>
  </sheetData>
  <phoneticPr fontId="5" type="noConversion"/>
  <conditionalFormatting sqref="C2:X37">
    <cfRule type="cellIs" dxfId="28" priority="1" operator="equal">
      <formula>0</formula>
    </cfRule>
    <cfRule type="cellIs" dxfId="27" priority="2" operator="equal">
      <formula>1</formula>
    </cfRule>
    <cfRule type="cellIs" dxfId="26" priority="3" operator="equal">
      <formula>"?"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F03D-771A-4A83-87A3-71DE389A0139}">
  <dimension ref="A1:AB104"/>
  <sheetViews>
    <sheetView zoomScale="85" zoomScaleNormal="85" workbookViewId="0">
      <selection activeCell="L19" sqref="L19"/>
    </sheetView>
  </sheetViews>
  <sheetFormatPr defaultRowHeight="17.399999999999999"/>
  <cols>
    <col min="1" max="1" width="11.296875" style="9" customWidth="1"/>
    <col min="2" max="2" width="7.796875" style="9" bestFit="1" customWidth="1"/>
    <col min="3" max="3" width="8.09765625" style="9" bestFit="1" customWidth="1"/>
    <col min="4" max="4" width="8" style="9" bestFit="1" customWidth="1"/>
    <col min="5" max="5" width="16.796875" style="9" customWidth="1"/>
    <col min="6" max="6" width="7.796875" style="9" bestFit="1" customWidth="1"/>
    <col min="7" max="7" width="26.296875" style="9" customWidth="1"/>
    <col min="8" max="8" width="11.796875" customWidth="1"/>
    <col min="9" max="9" width="7.19921875" bestFit="1" customWidth="1"/>
    <col min="10" max="10" width="8.296875" bestFit="1" customWidth="1"/>
    <col min="11" max="11" width="9.09765625" bestFit="1" customWidth="1"/>
    <col min="12" max="12" width="10.09765625" bestFit="1" customWidth="1"/>
    <col min="13" max="13" width="10.5" bestFit="1" customWidth="1"/>
    <col min="14" max="14" width="7.8984375" bestFit="1" customWidth="1"/>
    <col min="15" max="15" width="9.3984375" bestFit="1" customWidth="1"/>
    <col min="21" max="22" width="9.69921875" bestFit="1" customWidth="1"/>
    <col min="23" max="24" width="9.59765625" bestFit="1" customWidth="1"/>
    <col min="25" max="26" width="8.8984375" bestFit="1" customWidth="1"/>
    <col min="27" max="28" width="8.5" bestFit="1" customWidth="1"/>
  </cols>
  <sheetData>
    <row r="1" spans="1:28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99</v>
      </c>
      <c r="G1" t="s">
        <v>260</v>
      </c>
      <c r="H1" s="26" t="s">
        <v>247</v>
      </c>
      <c r="I1" s="16"/>
      <c r="J1" s="16"/>
      <c r="K1" s="15"/>
      <c r="L1" s="15"/>
      <c r="M1" s="15"/>
      <c r="N1" s="15"/>
      <c r="O1" s="16"/>
      <c r="P1" s="16"/>
      <c r="Q1" s="16"/>
      <c r="R1" s="16"/>
      <c r="S1" s="16"/>
      <c r="T1" s="16"/>
      <c r="U1" s="15"/>
      <c r="V1" s="15"/>
      <c r="W1" s="15"/>
      <c r="X1" s="15"/>
      <c r="Y1" s="15"/>
      <c r="Z1" s="15"/>
      <c r="AA1" s="15"/>
      <c r="AB1" s="15"/>
    </row>
    <row r="2" spans="1:28">
      <c r="A2">
        <v>25000</v>
      </c>
      <c r="B2">
        <v>1</v>
      </c>
      <c r="C2">
        <v>0</v>
      </c>
      <c r="D2" s="33" t="s">
        <v>211</v>
      </c>
      <c r="E2">
        <v>100000</v>
      </c>
      <c r="F2">
        <v>0</v>
      </c>
      <c r="G2" s="33" t="s">
        <v>212</v>
      </c>
      <c r="H2" s="9" t="str" cm="1">
        <f t="array" ref="H2">_xlfn.LET(
  _xlpm.s, SUBSTITUTE(SUBSTITUTE(TRIM(G2),"'",""),"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I2" s="7"/>
      <c r="J2" s="9"/>
    </row>
    <row r="3" spans="1:28">
      <c r="A3">
        <v>35000</v>
      </c>
      <c r="B3">
        <v>1</v>
      </c>
      <c r="C3">
        <v>0</v>
      </c>
      <c r="D3" s="33" t="s">
        <v>211</v>
      </c>
      <c r="E3">
        <v>100000</v>
      </c>
      <c r="F3">
        <v>1</v>
      </c>
      <c r="G3" s="33" t="s">
        <v>213</v>
      </c>
      <c r="H3" s="9" t="str" cm="1">
        <f t="array" ref="H3">_xlfn.LET(
  _xlpm.s, SUBSTITUTE(SUBSTITUTE(TRIM(G3),"'",""),"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  <c r="I3" s="7"/>
      <c r="J3" s="7"/>
    </row>
    <row r="4" spans="1:28">
      <c r="A4">
        <v>45000</v>
      </c>
      <c r="B4">
        <v>1</v>
      </c>
      <c r="C4">
        <v>0</v>
      </c>
      <c r="D4" s="33" t="s">
        <v>211</v>
      </c>
      <c r="E4">
        <v>100000</v>
      </c>
      <c r="F4">
        <v>7</v>
      </c>
      <c r="G4" s="33" t="s">
        <v>214</v>
      </c>
      <c r="H4" s="9" t="str" cm="1">
        <f t="array" ref="H4">_xlfn.LET(
  _xlpm.s, SUBSTITUTE(SUBSTITUTE(TRIM(G4),"'",""),"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000050</v>
      </c>
      <c r="K4" s="9"/>
      <c r="L4" s="9"/>
      <c r="M4" s="9"/>
      <c r="N4" s="9"/>
    </row>
    <row r="5" spans="1:28">
      <c r="A5">
        <v>55000</v>
      </c>
      <c r="B5">
        <v>1</v>
      </c>
      <c r="C5">
        <v>0</v>
      </c>
      <c r="D5" s="33" t="s">
        <v>211</v>
      </c>
      <c r="E5">
        <v>100000</v>
      </c>
      <c r="F5">
        <v>8</v>
      </c>
      <c r="G5" s="33" t="s">
        <v>215</v>
      </c>
      <c r="H5" s="9" t="str" cm="1">
        <f t="array" ref="H5">_xlfn.LET(
  _xlpm.s, SUBSTITUTE(SUBSTITUTE(TRIM(G5),"'",""),"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  <c r="K5" s="9"/>
      <c r="L5" s="9"/>
      <c r="M5" s="9"/>
      <c r="N5" s="9"/>
    </row>
    <row r="6" spans="1:28">
      <c r="A6">
        <v>65000</v>
      </c>
      <c r="B6">
        <v>1</v>
      </c>
      <c r="C6">
        <v>0</v>
      </c>
      <c r="D6" s="33" t="s">
        <v>211</v>
      </c>
      <c r="E6">
        <v>100001</v>
      </c>
      <c r="F6">
        <v>0</v>
      </c>
      <c r="G6" s="33" t="s">
        <v>212</v>
      </c>
      <c r="H6" s="9" t="str" cm="1">
        <f t="array" ref="H6">_xlfn.LET(
  _xlpm.s, SUBSTITUTE(SUBSTITUTE(TRIM(G6),"'",""),"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K6" s="9"/>
      <c r="L6" s="9"/>
      <c r="M6" s="9"/>
      <c r="N6" s="9"/>
    </row>
    <row r="7" spans="1:28">
      <c r="A7">
        <v>75000</v>
      </c>
      <c r="B7">
        <v>1</v>
      </c>
      <c r="C7">
        <v>0</v>
      </c>
      <c r="D7" s="33" t="s">
        <v>211</v>
      </c>
      <c r="E7">
        <v>100001</v>
      </c>
      <c r="F7">
        <v>1</v>
      </c>
      <c r="G7" s="33" t="s">
        <v>213</v>
      </c>
      <c r="H7" s="9" t="str" cm="1">
        <f t="array" ref="H7">_xlfn.LET(
  _xlpm.s, SUBSTITUTE(SUBSTITUTE(TRIM(G7),"'",""),"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  <c r="K7" s="9"/>
      <c r="L7" s="9"/>
      <c r="M7" s="9"/>
      <c r="N7" s="9"/>
    </row>
    <row r="8" spans="1:28">
      <c r="A8">
        <v>85000</v>
      </c>
      <c r="B8">
        <v>1</v>
      </c>
      <c r="C8">
        <v>0</v>
      </c>
      <c r="D8" s="33" t="s">
        <v>211</v>
      </c>
      <c r="E8">
        <v>100001</v>
      </c>
      <c r="F8">
        <v>7</v>
      </c>
      <c r="G8" s="33" t="s">
        <v>261</v>
      </c>
      <c r="H8" s="9" t="str" cm="1">
        <f t="array" ref="H8">_xlfn.LET(
  _xlpm.s, SUBSTITUTE(SUBSTITUTE(TRIM(G8),"'",""),"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000054</v>
      </c>
      <c r="K8" s="7"/>
      <c r="L8" s="7"/>
      <c r="M8" s="7"/>
      <c r="N8" s="7"/>
    </row>
    <row r="9" spans="1:28">
      <c r="A9">
        <v>95000</v>
      </c>
      <c r="B9">
        <v>1</v>
      </c>
      <c r="C9">
        <v>0</v>
      </c>
      <c r="D9" s="33" t="s">
        <v>211</v>
      </c>
      <c r="E9">
        <v>100001</v>
      </c>
      <c r="F9">
        <v>8</v>
      </c>
      <c r="G9" s="33" t="s">
        <v>215</v>
      </c>
      <c r="H9" s="9" t="str" cm="1">
        <f t="array" ref="H9">_xlfn.LET(
  _xlpm.s, SUBSTITUTE(SUBSTITUTE(TRIM(G9),"'",""),"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</row>
    <row r="10" spans="1:28">
      <c r="A10">
        <v>105000</v>
      </c>
      <c r="B10">
        <v>1</v>
      </c>
      <c r="C10">
        <v>0</v>
      </c>
      <c r="D10" s="33" t="s">
        <v>211</v>
      </c>
      <c r="E10">
        <v>100100</v>
      </c>
      <c r="F10">
        <v>0</v>
      </c>
      <c r="G10" s="33" t="s">
        <v>212</v>
      </c>
      <c r="H10" s="9" t="str" cm="1">
        <f t="array" ref="H10">_xlfn.LET(
  _xlpm.s, SUBSTITUTE(SUBSTITUTE(TRIM(G10),"'",""),"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11" spans="1:28">
      <c r="A11">
        <v>115000</v>
      </c>
      <c r="B11">
        <v>1</v>
      </c>
      <c r="C11">
        <v>0</v>
      </c>
      <c r="D11" s="33" t="s">
        <v>211</v>
      </c>
      <c r="E11">
        <v>100100</v>
      </c>
      <c r="F11">
        <v>1</v>
      </c>
      <c r="G11" s="33" t="s">
        <v>213</v>
      </c>
      <c r="H11" s="9" t="str" cm="1">
        <f t="array" ref="H11">_xlfn.LET(
  _xlpm.s, SUBSTITUTE(SUBSTITUTE(TRIM(G11),"'",""),"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12" spans="1:28">
      <c r="A12">
        <v>125000</v>
      </c>
      <c r="B12">
        <v>1</v>
      </c>
      <c r="C12">
        <v>0</v>
      </c>
      <c r="D12" s="33" t="s">
        <v>211</v>
      </c>
      <c r="E12">
        <v>100100</v>
      </c>
      <c r="F12">
        <v>7</v>
      </c>
      <c r="G12" s="33" t="s">
        <v>216</v>
      </c>
      <c r="H12" s="9" t="str" cm="1">
        <f t="array" ref="H12">_xlfn.LET(
  _xlpm.s, SUBSTITUTE(SUBSTITUTE(TRIM(G12),"'",""),"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000051</v>
      </c>
    </row>
    <row r="13" spans="1:28">
      <c r="A13">
        <v>135000</v>
      </c>
      <c r="B13">
        <v>1</v>
      </c>
      <c r="C13">
        <v>0</v>
      </c>
      <c r="D13" s="33" t="s">
        <v>211</v>
      </c>
      <c r="E13">
        <v>100100</v>
      </c>
      <c r="F13">
        <v>8</v>
      </c>
      <c r="G13" s="33" t="s">
        <v>215</v>
      </c>
      <c r="H13" s="9" t="str" cm="1">
        <f t="array" ref="H13">_xlfn.LET(
  _xlpm.s, SUBSTITUTE(SUBSTITUTE(TRIM(G13),"'",""),"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</row>
    <row r="14" spans="1:28">
      <c r="A14">
        <v>145000</v>
      </c>
      <c r="B14">
        <v>1</v>
      </c>
      <c r="C14">
        <v>0</v>
      </c>
      <c r="D14" s="33" t="s">
        <v>211</v>
      </c>
      <c r="E14">
        <v>100101</v>
      </c>
      <c r="F14">
        <v>0</v>
      </c>
      <c r="G14" s="33" t="s">
        <v>212</v>
      </c>
      <c r="H14" s="9" t="str" cm="1">
        <f t="array" ref="H14">_xlfn.LET(
  _xlpm.s, SUBSTITUTE(SUBSTITUTE(TRIM(G14),"'",""),"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15" spans="1:28">
      <c r="A15">
        <v>155000</v>
      </c>
      <c r="B15">
        <v>1</v>
      </c>
      <c r="C15">
        <v>0</v>
      </c>
      <c r="D15" s="33" t="s">
        <v>211</v>
      </c>
      <c r="E15">
        <v>100101</v>
      </c>
      <c r="F15">
        <v>1</v>
      </c>
      <c r="G15" s="33" t="s">
        <v>213</v>
      </c>
      <c r="H15" s="9" t="str" cm="1">
        <f t="array" ref="H15">_xlfn.LET(
  _xlpm.s, SUBSTITUTE(SUBSTITUTE(TRIM(G15),"'",""),"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16" spans="1:28">
      <c r="A16">
        <v>165000</v>
      </c>
      <c r="B16">
        <v>1</v>
      </c>
      <c r="C16">
        <v>0</v>
      </c>
      <c r="D16" s="33" t="s">
        <v>211</v>
      </c>
      <c r="E16">
        <v>100101</v>
      </c>
      <c r="F16">
        <v>7</v>
      </c>
      <c r="G16" s="33" t="s">
        <v>217</v>
      </c>
      <c r="H16" s="9" t="str" cm="1">
        <f t="array" ref="H16">_xlfn.LET(
  _xlpm.s, SUBSTITUTE(SUBSTITUTE(TRIM(G16),"'",""),"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000055</v>
      </c>
    </row>
    <row r="17" spans="1:28">
      <c r="A17">
        <v>175000</v>
      </c>
      <c r="B17">
        <v>1</v>
      </c>
      <c r="C17">
        <v>0</v>
      </c>
      <c r="D17" s="33" t="s">
        <v>211</v>
      </c>
      <c r="E17">
        <v>100101</v>
      </c>
      <c r="F17">
        <v>8</v>
      </c>
      <c r="G17" s="33" t="s">
        <v>215</v>
      </c>
      <c r="H17" s="9" t="str" cm="1">
        <f t="array" ref="H17">_xlfn.LET(
  _xlpm.s, SUBSTITUTE(SUBSTITUTE(TRIM(G17),"'",""),"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</row>
    <row r="18" spans="1:28">
      <c r="A18">
        <v>185000</v>
      </c>
      <c r="B18">
        <v>1</v>
      </c>
      <c r="C18">
        <v>0</v>
      </c>
      <c r="D18" s="33" t="s">
        <v>211</v>
      </c>
      <c r="E18">
        <v>100110</v>
      </c>
      <c r="F18">
        <v>0</v>
      </c>
      <c r="G18" s="33" t="s">
        <v>212</v>
      </c>
      <c r="H18" s="9" t="str" cm="1">
        <f t="array" ref="H18">_xlfn.LET(
  _xlpm.s, SUBSTITUTE(SUBSTITUTE(TRIM(G18),"'",""),"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19" spans="1:28">
      <c r="A19">
        <v>195000</v>
      </c>
      <c r="B19">
        <v>1</v>
      </c>
      <c r="C19">
        <v>0</v>
      </c>
      <c r="D19" s="33" t="s">
        <v>211</v>
      </c>
      <c r="E19">
        <v>100110</v>
      </c>
      <c r="F19">
        <v>1</v>
      </c>
      <c r="G19" s="33" t="s">
        <v>213</v>
      </c>
      <c r="H19" s="9" t="str" cm="1">
        <f t="array" ref="H19">_xlfn.LET(
  _xlpm.s, SUBSTITUTE(SUBSTITUTE(TRIM(G19),"'",""),"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20" spans="1:28">
      <c r="A20">
        <v>205000</v>
      </c>
      <c r="B20">
        <v>1</v>
      </c>
      <c r="C20">
        <v>0</v>
      </c>
      <c r="D20" s="33" t="s">
        <v>211</v>
      </c>
      <c r="E20">
        <v>100110</v>
      </c>
      <c r="F20">
        <v>7</v>
      </c>
      <c r="G20" s="33" t="s">
        <v>218</v>
      </c>
      <c r="H20" s="9" t="str" cm="1">
        <f t="array" ref="H20">_xlfn.LET(
  _xlpm.s, SUBSTITUTE(SUBSTITUTE(TRIM(G20),"'",""),"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000059</v>
      </c>
    </row>
    <row r="21" spans="1:28">
      <c r="A21">
        <v>215000</v>
      </c>
      <c r="B21">
        <v>1</v>
      </c>
      <c r="C21">
        <v>0</v>
      </c>
      <c r="D21" s="33" t="s">
        <v>211</v>
      </c>
      <c r="E21">
        <v>100110</v>
      </c>
      <c r="F21">
        <v>8</v>
      </c>
      <c r="G21" s="33" t="s">
        <v>215</v>
      </c>
      <c r="H21" s="9" t="str" cm="1">
        <f t="array" ref="H21">_xlfn.LET(
  _xlpm.s, SUBSTITUTE(SUBSTITUTE(TRIM(G21),"'",""),"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</row>
    <row r="22" spans="1:28">
      <c r="A22">
        <v>225000</v>
      </c>
      <c r="B22">
        <v>1</v>
      </c>
      <c r="C22">
        <v>0</v>
      </c>
      <c r="D22" s="33" t="s">
        <v>211</v>
      </c>
      <c r="E22">
        <v>100111</v>
      </c>
      <c r="F22">
        <v>0</v>
      </c>
      <c r="G22" s="33" t="s">
        <v>212</v>
      </c>
      <c r="H22" s="9" t="str" cm="1">
        <f t="array" ref="H22">_xlfn.LET(
  _xlpm.s, SUBSTITUTE(SUBSTITUTE(TRIM(G22),"'",""),"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U22" s="9"/>
      <c r="V22" s="9"/>
      <c r="W22" s="9"/>
      <c r="X22" s="9"/>
      <c r="Y22" s="9"/>
      <c r="Z22" s="9"/>
      <c r="AA22" s="9"/>
      <c r="AB22" s="9"/>
    </row>
    <row r="23" spans="1:28">
      <c r="A23">
        <v>235000</v>
      </c>
      <c r="B23">
        <v>1</v>
      </c>
      <c r="C23">
        <v>0</v>
      </c>
      <c r="D23" s="33" t="s">
        <v>211</v>
      </c>
      <c r="E23">
        <v>100111</v>
      </c>
      <c r="F23">
        <v>1</v>
      </c>
      <c r="G23" s="33" t="s">
        <v>213</v>
      </c>
      <c r="H23" s="9" t="str" cm="1">
        <f t="array" ref="H23">_xlfn.LET(
  _xlpm.s, SUBSTITUTE(SUBSTITUTE(TRIM(G23),"'",""),"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  <c r="U23" s="9"/>
      <c r="V23" s="9"/>
      <c r="W23" s="9"/>
      <c r="X23" s="9"/>
      <c r="Y23" s="9"/>
      <c r="Z23" s="9"/>
      <c r="AA23" s="9"/>
      <c r="AB23" s="9"/>
    </row>
    <row r="24" spans="1:28">
      <c r="A24">
        <v>245000</v>
      </c>
      <c r="B24">
        <v>1</v>
      </c>
      <c r="C24">
        <v>0</v>
      </c>
      <c r="D24" s="33" t="s">
        <v>211</v>
      </c>
      <c r="E24">
        <v>100111</v>
      </c>
      <c r="F24">
        <v>7</v>
      </c>
      <c r="G24" s="33" t="s">
        <v>219</v>
      </c>
      <c r="H24" s="9" t="str" cm="1">
        <f t="array" ref="H24">_xlfn.LET(
  _xlpm.s, SUBSTITUTE(SUBSTITUTE(TRIM(G24),"'",""),"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00005D</v>
      </c>
      <c r="U24" s="9"/>
      <c r="V24" s="9"/>
      <c r="W24" s="9"/>
      <c r="X24" s="9"/>
      <c r="Y24" s="9"/>
      <c r="Z24" s="9"/>
      <c r="AA24" s="9"/>
      <c r="AB24" s="9"/>
    </row>
    <row r="25" spans="1:28">
      <c r="A25">
        <v>255000</v>
      </c>
      <c r="B25">
        <v>1</v>
      </c>
      <c r="C25">
        <v>0</v>
      </c>
      <c r="D25" s="33" t="s">
        <v>211</v>
      </c>
      <c r="E25">
        <v>100111</v>
      </c>
      <c r="F25">
        <v>8</v>
      </c>
      <c r="G25" s="33" t="s">
        <v>215</v>
      </c>
      <c r="H25" s="9" t="str" cm="1">
        <f t="array" ref="H25">_xlfn.LET(
  _xlpm.s, SUBSTITUTE(SUBSTITUTE(TRIM(G25),"'",""),"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  <c r="U25" s="9"/>
      <c r="V25" s="9"/>
      <c r="W25" s="9"/>
      <c r="X25" s="9"/>
      <c r="Y25" s="9"/>
      <c r="Z25" s="9"/>
      <c r="AA25" s="9"/>
      <c r="AB25" s="9"/>
    </row>
    <row r="26" spans="1:28">
      <c r="A26">
        <v>265000</v>
      </c>
      <c r="B26">
        <v>1</v>
      </c>
      <c r="C26">
        <v>0</v>
      </c>
      <c r="D26" s="33" t="s">
        <v>211</v>
      </c>
      <c r="E26" s="33" t="s">
        <v>211</v>
      </c>
      <c r="F26">
        <v>0</v>
      </c>
      <c r="G26" s="33" t="s">
        <v>212</v>
      </c>
      <c r="H26" s="9" t="str" cm="1">
        <f t="array" ref="H26">_xlfn.LET(
  _xlpm.s, SUBSTITUTE(SUBSTITUTE(TRIM(G26),"'",""),"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U26" s="9"/>
      <c r="V26" s="9"/>
      <c r="W26" s="9"/>
      <c r="X26" s="9"/>
      <c r="Y26" s="9"/>
      <c r="Z26" s="9"/>
      <c r="AA26" s="9"/>
      <c r="AB26" s="9"/>
    </row>
    <row r="27" spans="1:28">
      <c r="A27">
        <v>275000</v>
      </c>
      <c r="B27">
        <v>1</v>
      </c>
      <c r="C27">
        <v>0</v>
      </c>
      <c r="D27" s="33" t="s">
        <v>211</v>
      </c>
      <c r="E27" s="33" t="s">
        <v>211</v>
      </c>
      <c r="F27">
        <v>1</v>
      </c>
      <c r="G27" s="33" t="s">
        <v>213</v>
      </c>
      <c r="H27" s="9" t="str" cm="1">
        <f t="array" ref="H27">_xlfn.LET(
  _xlpm.s, SUBSTITUTE(SUBSTITUTE(TRIM(G27),"'",""),"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  <c r="U27" s="9"/>
      <c r="V27" s="9"/>
      <c r="W27" s="9"/>
      <c r="X27" s="9"/>
      <c r="Y27" s="9"/>
      <c r="Z27" s="9"/>
      <c r="AA27" s="9"/>
      <c r="AB27" s="9"/>
    </row>
    <row r="28" spans="1:28">
      <c r="A28">
        <v>285000</v>
      </c>
      <c r="B28">
        <v>1</v>
      </c>
      <c r="C28">
        <v>0</v>
      </c>
      <c r="D28" s="33" t="s">
        <v>211</v>
      </c>
      <c r="E28" s="33" t="s">
        <v>211</v>
      </c>
      <c r="F28">
        <v>7</v>
      </c>
      <c r="G28" s="33" t="s">
        <v>220</v>
      </c>
      <c r="H28" s="9" t="str" cm="1">
        <f t="array" ref="H28">_xlfn.LET(
  _xlpm.s, SUBSTITUTE(SUBSTITUTE(TRIM(G28),"'",""),"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000052</v>
      </c>
      <c r="U28" s="9"/>
      <c r="V28" s="9"/>
      <c r="W28" s="9"/>
      <c r="X28" s="9"/>
      <c r="Y28" s="9"/>
      <c r="Z28" s="9"/>
      <c r="AA28" s="9"/>
      <c r="AB28" s="9"/>
    </row>
    <row r="29" spans="1:28">
      <c r="A29">
        <v>295000</v>
      </c>
      <c r="B29">
        <v>1</v>
      </c>
      <c r="C29">
        <v>0</v>
      </c>
      <c r="D29" s="33" t="s">
        <v>211</v>
      </c>
      <c r="E29" s="33" t="s">
        <v>211</v>
      </c>
      <c r="F29">
        <v>8</v>
      </c>
      <c r="G29" s="33" t="s">
        <v>215</v>
      </c>
      <c r="H29" s="9" t="str" cm="1">
        <f t="array" ref="H29">_xlfn.LET(
  _xlpm.s, SUBSTITUTE(SUBSTITUTE(TRIM(G29),"'",""),"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  <c r="U29" s="9"/>
      <c r="V29" s="9"/>
      <c r="W29" s="9"/>
      <c r="X29" s="9"/>
      <c r="Y29" s="9"/>
      <c r="Z29" s="9"/>
      <c r="AA29" s="9"/>
      <c r="AB29" s="9"/>
    </row>
    <row r="30" spans="1:28">
      <c r="A30">
        <v>305000</v>
      </c>
      <c r="B30">
        <v>1</v>
      </c>
      <c r="C30">
        <v>0</v>
      </c>
      <c r="D30" s="33" t="s">
        <v>211</v>
      </c>
      <c r="E30" s="33" t="s">
        <v>221</v>
      </c>
      <c r="F30">
        <v>0</v>
      </c>
      <c r="G30" s="33" t="s">
        <v>212</v>
      </c>
      <c r="H30" s="9" t="str" cm="1">
        <f t="array" ref="H30">_xlfn.LET(
  _xlpm.s, SUBSTITUTE(SUBSTITUTE(TRIM(G30),"'",""),"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U30" s="9"/>
      <c r="V30" s="9"/>
      <c r="W30" s="9"/>
      <c r="X30" s="9"/>
      <c r="Y30" s="9"/>
      <c r="Z30" s="9"/>
      <c r="AA30" s="9"/>
      <c r="AB30" s="9"/>
    </row>
    <row r="31" spans="1:28">
      <c r="A31">
        <v>315000</v>
      </c>
      <c r="B31">
        <v>1</v>
      </c>
      <c r="C31">
        <v>0</v>
      </c>
      <c r="D31" s="33" t="s">
        <v>211</v>
      </c>
      <c r="E31" s="33" t="s">
        <v>221</v>
      </c>
      <c r="F31">
        <v>1</v>
      </c>
      <c r="G31" s="33" t="s">
        <v>213</v>
      </c>
      <c r="H31" s="9" t="str" cm="1">
        <f t="array" ref="H31">_xlfn.LET(
  _xlpm.s, SUBSTITUTE(SUBSTITUTE(TRIM(G31),"'",""),"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  <c r="U31" s="9"/>
      <c r="V31" s="9"/>
      <c r="W31" s="9"/>
      <c r="X31" s="9"/>
      <c r="Y31" s="9"/>
      <c r="Z31" s="9"/>
      <c r="AA31" s="9"/>
      <c r="AB31" s="9"/>
    </row>
    <row r="32" spans="1:28">
      <c r="A32">
        <v>325000</v>
      </c>
      <c r="B32">
        <v>1</v>
      </c>
      <c r="C32">
        <v>0</v>
      </c>
      <c r="D32" s="33" t="s">
        <v>211</v>
      </c>
      <c r="E32" s="33" t="s">
        <v>221</v>
      </c>
      <c r="F32">
        <v>7</v>
      </c>
      <c r="G32" s="33" t="s">
        <v>222</v>
      </c>
      <c r="H32" s="9" t="str" cm="1">
        <f t="array" ref="H32">_xlfn.LET(
  _xlpm.s, SUBSTITUTE(SUBSTITUTE(TRIM(G32),"'",""),"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000066</v>
      </c>
      <c r="U32" s="9"/>
      <c r="V32" s="9"/>
      <c r="W32" s="9"/>
      <c r="X32" s="9"/>
      <c r="Y32" s="9"/>
      <c r="Z32" s="9"/>
      <c r="AA32" s="9"/>
      <c r="AB32" s="9"/>
    </row>
    <row r="33" spans="1:28">
      <c r="A33">
        <v>335000</v>
      </c>
      <c r="B33">
        <v>1</v>
      </c>
      <c r="C33">
        <v>0</v>
      </c>
      <c r="D33" s="33" t="s">
        <v>211</v>
      </c>
      <c r="E33" s="33" t="s">
        <v>221</v>
      </c>
      <c r="F33">
        <v>8</v>
      </c>
      <c r="G33" s="33" t="s">
        <v>215</v>
      </c>
      <c r="H33" s="9" t="str" cm="1">
        <f t="array" ref="H33">_xlfn.LET(
  _xlpm.s, SUBSTITUTE(SUBSTITUTE(TRIM(G33),"'",""),"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  <c r="U33" s="9"/>
      <c r="V33" s="9"/>
      <c r="W33" s="9"/>
      <c r="X33" s="9"/>
      <c r="Y33" s="9"/>
      <c r="Z33" s="9"/>
      <c r="AA33" s="9"/>
      <c r="AB33" s="9"/>
    </row>
    <row r="34" spans="1:28">
      <c r="A34">
        <v>345000</v>
      </c>
      <c r="B34">
        <v>1</v>
      </c>
      <c r="C34">
        <v>0</v>
      </c>
      <c r="D34" s="33" t="s">
        <v>211</v>
      </c>
      <c r="E34" s="33" t="s">
        <v>223</v>
      </c>
      <c r="F34">
        <v>0</v>
      </c>
      <c r="G34" s="33" t="s">
        <v>212</v>
      </c>
      <c r="H34" s="9" t="str" cm="1">
        <f t="array" ref="H34">_xlfn.LET(
  _xlpm.s, SUBSTITUTE(SUBSTITUTE(TRIM(G34),"'",""),"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U34" s="9"/>
      <c r="V34" s="9"/>
      <c r="W34" s="9"/>
      <c r="X34" s="9"/>
      <c r="Y34" s="9"/>
      <c r="Z34" s="9"/>
      <c r="AA34" s="9"/>
      <c r="AB34" s="9"/>
    </row>
    <row r="35" spans="1:28">
      <c r="A35">
        <v>355000</v>
      </c>
      <c r="B35">
        <v>1</v>
      </c>
      <c r="C35">
        <v>0</v>
      </c>
      <c r="D35" s="33" t="s">
        <v>211</v>
      </c>
      <c r="E35" s="33" t="s">
        <v>223</v>
      </c>
      <c r="F35">
        <v>1</v>
      </c>
      <c r="G35" s="33" t="s">
        <v>213</v>
      </c>
      <c r="H35" s="9" t="str" cm="1">
        <f t="array" ref="H35">_xlfn.LET(
  _xlpm.s, SUBSTITUTE(SUBSTITUTE(TRIM(G35),"'",""),"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  <c r="U35" s="9"/>
      <c r="V35" s="9"/>
      <c r="W35" s="9"/>
      <c r="X35" s="9"/>
      <c r="Y35" s="9"/>
      <c r="Z35" s="9"/>
      <c r="AA35" s="9"/>
      <c r="AB35" s="9"/>
    </row>
    <row r="36" spans="1:28">
      <c r="A36">
        <v>365000</v>
      </c>
      <c r="B36">
        <v>1</v>
      </c>
      <c r="C36">
        <v>0</v>
      </c>
      <c r="D36" s="33" t="s">
        <v>211</v>
      </c>
      <c r="E36" s="33" t="s">
        <v>223</v>
      </c>
      <c r="F36">
        <v>7</v>
      </c>
      <c r="G36" s="33" t="s">
        <v>224</v>
      </c>
      <c r="H36" s="9" t="str" cm="1">
        <f t="array" ref="H36">_xlfn.LET(
  _xlpm.s, SUBSTITUTE(SUBSTITUTE(TRIM(G36),"'",""),"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00006A</v>
      </c>
      <c r="U36" s="9"/>
      <c r="V36" s="9"/>
      <c r="W36" s="9"/>
      <c r="X36" s="9"/>
      <c r="Y36" s="9"/>
      <c r="Z36" s="9"/>
      <c r="AA36" s="9"/>
      <c r="AB36" s="9"/>
    </row>
    <row r="37" spans="1:28">
      <c r="A37">
        <v>375000</v>
      </c>
      <c r="B37">
        <v>1</v>
      </c>
      <c r="C37">
        <v>0</v>
      </c>
      <c r="D37" s="33" t="s">
        <v>211</v>
      </c>
      <c r="E37" s="33" t="s">
        <v>223</v>
      </c>
      <c r="F37">
        <v>8</v>
      </c>
      <c r="G37" s="33" t="s">
        <v>215</v>
      </c>
      <c r="H37" s="9" t="str" cm="1">
        <f t="array" ref="H37">_xlfn.LET(
  _xlpm.s, SUBSTITUTE(SUBSTITUTE(TRIM(G37),"'",""),"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  <c r="U37" s="9"/>
      <c r="V37" s="9"/>
      <c r="W37" s="9"/>
      <c r="X37" s="9"/>
      <c r="Y37" s="9"/>
      <c r="Z37" s="9"/>
      <c r="AA37" s="9"/>
      <c r="AB37" s="9"/>
    </row>
    <row r="38" spans="1:28">
      <c r="A38">
        <v>385000</v>
      </c>
      <c r="B38">
        <v>1</v>
      </c>
      <c r="C38">
        <v>0</v>
      </c>
      <c r="D38" s="33" t="s">
        <v>211</v>
      </c>
      <c r="E38" s="33" t="s">
        <v>225</v>
      </c>
      <c r="F38">
        <v>0</v>
      </c>
      <c r="G38" s="33" t="s">
        <v>212</v>
      </c>
      <c r="H38" s="9" t="str" cm="1">
        <f t="array" ref="H38">_xlfn.LET(
  _xlpm.s, SUBSTITUTE(SUBSTITUTE(TRIM(G38),"'",""),"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U38" s="9"/>
      <c r="V38" s="9"/>
      <c r="W38" s="9"/>
      <c r="X38" s="9"/>
      <c r="Y38" s="9"/>
      <c r="Z38" s="9"/>
      <c r="AA38" s="9"/>
      <c r="AB38" s="9"/>
    </row>
    <row r="39" spans="1:28">
      <c r="A39">
        <v>395000</v>
      </c>
      <c r="B39">
        <v>1</v>
      </c>
      <c r="C39">
        <v>0</v>
      </c>
      <c r="D39" s="33" t="s">
        <v>211</v>
      </c>
      <c r="E39" s="33" t="s">
        <v>225</v>
      </c>
      <c r="F39">
        <v>1</v>
      </c>
      <c r="G39" s="33" t="s">
        <v>213</v>
      </c>
      <c r="H39" s="9" t="str" cm="1">
        <f t="array" ref="H39">_xlfn.LET(
  _xlpm.s, SUBSTITUTE(SUBSTITUTE(TRIM(G39),"'",""),"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  <c r="U39" s="9"/>
      <c r="V39" s="9"/>
      <c r="W39" s="9"/>
      <c r="X39" s="9"/>
      <c r="Y39" s="9"/>
      <c r="Z39" s="9"/>
      <c r="AA39" s="9"/>
      <c r="AB39" s="9"/>
    </row>
    <row r="40" spans="1:28">
      <c r="A40">
        <v>405000</v>
      </c>
      <c r="B40">
        <v>1</v>
      </c>
      <c r="C40">
        <v>0</v>
      </c>
      <c r="D40" s="33" t="s">
        <v>211</v>
      </c>
      <c r="E40" s="33" t="s">
        <v>225</v>
      </c>
      <c r="F40">
        <v>7</v>
      </c>
      <c r="G40" s="33" t="s">
        <v>226</v>
      </c>
      <c r="H40" s="9" t="str" cm="1">
        <f t="array" ref="H40">_xlfn.LET(
  _xlpm.s, SUBSTITUTE(SUBSTITUTE(TRIM(G40),"'",""),"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00006E</v>
      </c>
      <c r="U40" s="9"/>
      <c r="V40" s="9"/>
      <c r="W40" s="9"/>
      <c r="X40" s="9"/>
      <c r="Y40" s="9"/>
      <c r="Z40" s="9"/>
      <c r="AA40" s="9"/>
      <c r="AB40" s="9"/>
    </row>
    <row r="41" spans="1:28">
      <c r="A41">
        <v>415000</v>
      </c>
      <c r="B41">
        <v>1</v>
      </c>
      <c r="C41">
        <v>0</v>
      </c>
      <c r="D41" s="33" t="s">
        <v>211</v>
      </c>
      <c r="E41" s="33" t="s">
        <v>225</v>
      </c>
      <c r="F41">
        <v>8</v>
      </c>
      <c r="G41" s="33" t="s">
        <v>215</v>
      </c>
      <c r="H41" s="9" t="str" cm="1">
        <f t="array" ref="H41">_xlfn.LET(
  _xlpm.s, SUBSTITUTE(SUBSTITUTE(TRIM(G41),"'",""),"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  <c r="U41" s="9"/>
      <c r="V41" s="9"/>
      <c r="W41" s="9"/>
      <c r="X41" s="9"/>
      <c r="Y41" s="9"/>
      <c r="Z41" s="9"/>
      <c r="AA41" s="9"/>
      <c r="AB41" s="9"/>
    </row>
    <row r="42" spans="1:28">
      <c r="A42">
        <v>425000</v>
      </c>
      <c r="B42">
        <v>1</v>
      </c>
      <c r="C42">
        <v>0</v>
      </c>
      <c r="D42" s="33" t="s">
        <v>211</v>
      </c>
      <c r="E42" s="33" t="s">
        <v>227</v>
      </c>
      <c r="F42">
        <v>0</v>
      </c>
      <c r="G42" s="33" t="s">
        <v>212</v>
      </c>
      <c r="H42" s="9" t="str" cm="1">
        <f t="array" ref="H42">_xlfn.LET(
  _xlpm.s, SUBSTITUTE(SUBSTITUTE(TRIM(G42),"'",""),"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  <c r="U42" s="9"/>
      <c r="V42" s="9"/>
      <c r="W42" s="9"/>
      <c r="X42" s="9"/>
      <c r="Y42" s="9"/>
      <c r="Z42" s="9"/>
      <c r="AA42" s="9"/>
      <c r="AB42" s="9"/>
    </row>
    <row r="43" spans="1:28">
      <c r="A43">
        <v>435000</v>
      </c>
      <c r="B43">
        <v>1</v>
      </c>
      <c r="C43">
        <v>0</v>
      </c>
      <c r="D43" s="33" t="s">
        <v>211</v>
      </c>
      <c r="E43" s="33" t="s">
        <v>227</v>
      </c>
      <c r="F43">
        <v>1</v>
      </c>
      <c r="G43" s="33" t="s">
        <v>213</v>
      </c>
      <c r="H43" s="9" t="str" cm="1">
        <f t="array" ref="H43">_xlfn.LET(
  _xlpm.s, SUBSTITUTE(SUBSTITUTE(TRIM(G43),"'",""),"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44" spans="1:28">
      <c r="A44">
        <v>445000</v>
      </c>
      <c r="B44">
        <v>1</v>
      </c>
      <c r="C44">
        <v>0</v>
      </c>
      <c r="D44" s="33" t="s">
        <v>211</v>
      </c>
      <c r="E44" s="33" t="s">
        <v>227</v>
      </c>
      <c r="F44">
        <v>5</v>
      </c>
      <c r="G44" s="33" t="s">
        <v>262</v>
      </c>
      <c r="H44" s="9" t="str" cm="1">
        <f t="array" ref="H44">_xlfn.LET(
  _xlpm.s, SUBSTITUTE(SUBSTITUTE(TRIM(G44),"'",""),"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0C0000</v>
      </c>
    </row>
    <row r="45" spans="1:28">
      <c r="A45">
        <v>455000</v>
      </c>
      <c r="B45">
        <v>1</v>
      </c>
      <c r="C45">
        <v>0</v>
      </c>
      <c r="D45" s="33" t="s">
        <v>211</v>
      </c>
      <c r="E45" s="33" t="s">
        <v>228</v>
      </c>
      <c r="F45">
        <v>0</v>
      </c>
      <c r="G45" s="33" t="s">
        <v>212</v>
      </c>
      <c r="H45" s="9" t="str" cm="1">
        <f t="array" ref="H45">_xlfn.LET(
  _xlpm.s, SUBSTITUTE(SUBSTITUTE(TRIM(G45),"'",""),"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46" spans="1:28">
      <c r="A46">
        <v>465000</v>
      </c>
      <c r="B46">
        <v>1</v>
      </c>
      <c r="C46">
        <v>0</v>
      </c>
      <c r="D46" s="33" t="s">
        <v>211</v>
      </c>
      <c r="E46" s="33" t="s">
        <v>228</v>
      </c>
      <c r="F46">
        <v>1</v>
      </c>
      <c r="G46" s="33" t="s">
        <v>213</v>
      </c>
      <c r="H46" s="9" t="str" cm="1">
        <f t="array" ref="H46">_xlfn.LET(
  _xlpm.s, SUBSTITUTE(SUBSTITUTE(TRIM(G46),"'",""),"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47" spans="1:28">
      <c r="A47">
        <v>475000</v>
      </c>
      <c r="B47">
        <v>1</v>
      </c>
      <c r="C47">
        <v>0</v>
      </c>
      <c r="D47" s="33" t="s">
        <v>211</v>
      </c>
      <c r="E47" s="33" t="s">
        <v>228</v>
      </c>
      <c r="F47">
        <v>5</v>
      </c>
      <c r="G47" s="33" t="s">
        <v>263</v>
      </c>
      <c r="H47" s="9" t="str" cm="1">
        <f t="array" ref="H47">_xlfn.LET(
  _xlpm.s, SUBSTITUTE(SUBSTITUTE(TRIM(G47),"'",""),"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300000</v>
      </c>
    </row>
    <row r="48" spans="1:28">
      <c r="A48">
        <v>485000</v>
      </c>
      <c r="B48">
        <v>1</v>
      </c>
      <c r="C48">
        <v>0</v>
      </c>
      <c r="D48" s="33" t="s">
        <v>211</v>
      </c>
      <c r="E48">
        <v>101001</v>
      </c>
      <c r="F48">
        <v>0</v>
      </c>
      <c r="G48" s="33" t="s">
        <v>212</v>
      </c>
      <c r="H48" s="9" t="str" cm="1">
        <f t="array" ref="H48">_xlfn.LET(
  _xlpm.s, SUBSTITUTE(SUBSTITUTE(TRIM(G48),"'",""),"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49" spans="1:8">
      <c r="A49">
        <v>495000</v>
      </c>
      <c r="B49">
        <v>1</v>
      </c>
      <c r="C49">
        <v>0</v>
      </c>
      <c r="D49" s="33" t="s">
        <v>211</v>
      </c>
      <c r="E49">
        <v>101001</v>
      </c>
      <c r="F49">
        <v>1</v>
      </c>
      <c r="G49" s="33" t="s">
        <v>213</v>
      </c>
      <c r="H49" s="9" t="str" cm="1">
        <f t="array" ref="H49">_xlfn.LET(
  _xlpm.s, SUBSTITUTE(SUBSTITUTE(TRIM(G49),"'",""),"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50" spans="1:8">
      <c r="A50">
        <v>505000</v>
      </c>
      <c r="B50">
        <v>1</v>
      </c>
      <c r="C50">
        <v>0</v>
      </c>
      <c r="D50" s="33" t="s">
        <v>211</v>
      </c>
      <c r="E50">
        <v>101001</v>
      </c>
      <c r="F50">
        <v>7</v>
      </c>
      <c r="G50" s="33" t="s">
        <v>222</v>
      </c>
      <c r="H50" s="9" t="str" cm="1">
        <f t="array" ref="H50">_xlfn.LET(
  _xlpm.s, SUBSTITUTE(SUBSTITUTE(TRIM(G50),"'",""),"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000066</v>
      </c>
    </row>
    <row r="51" spans="1:8">
      <c r="A51">
        <v>515000</v>
      </c>
      <c r="B51">
        <v>1</v>
      </c>
      <c r="C51">
        <v>0</v>
      </c>
      <c r="D51" s="33" t="s">
        <v>211</v>
      </c>
      <c r="E51">
        <v>101001</v>
      </c>
      <c r="F51">
        <v>9</v>
      </c>
      <c r="G51" s="33" t="s">
        <v>229</v>
      </c>
      <c r="H51" s="9" t="str" cm="1">
        <f t="array" ref="H51">_xlfn.LET(
  _xlpm.s, SUBSTITUTE(SUBSTITUTE(TRIM(G51),"'",""),"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000099</v>
      </c>
    </row>
    <row r="52" spans="1:8">
      <c r="A52">
        <v>525000</v>
      </c>
      <c r="B52">
        <v>1</v>
      </c>
      <c r="C52">
        <v>0</v>
      </c>
      <c r="D52" s="33" t="s">
        <v>211</v>
      </c>
      <c r="E52">
        <v>101001</v>
      </c>
      <c r="F52">
        <v>8</v>
      </c>
      <c r="G52" s="33" t="s">
        <v>215</v>
      </c>
      <c r="H52" s="9" t="str" cm="1">
        <f t="array" ref="H52">_xlfn.LET(
  _xlpm.s, SUBSTITUTE(SUBSTITUTE(TRIM(G52),"'",""),"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</row>
    <row r="53" spans="1:8">
      <c r="A53">
        <v>535000</v>
      </c>
      <c r="B53">
        <v>1</v>
      </c>
      <c r="C53">
        <v>0</v>
      </c>
      <c r="D53" s="33" t="s">
        <v>211</v>
      </c>
      <c r="E53">
        <v>101010</v>
      </c>
      <c r="F53">
        <v>0</v>
      </c>
      <c r="G53" s="33" t="s">
        <v>212</v>
      </c>
      <c r="H53" s="9" t="str" cm="1">
        <f t="array" ref="H53">_xlfn.LET(
  _xlpm.s, SUBSTITUTE(SUBSTITUTE(TRIM(G53),"'",""),"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54" spans="1:8">
      <c r="A54">
        <v>545000</v>
      </c>
      <c r="B54">
        <v>1</v>
      </c>
      <c r="C54">
        <v>0</v>
      </c>
      <c r="D54" s="33" t="s">
        <v>211</v>
      </c>
      <c r="E54">
        <v>101010</v>
      </c>
      <c r="F54">
        <v>1</v>
      </c>
      <c r="G54" s="33" t="s">
        <v>213</v>
      </c>
      <c r="H54" s="9" t="str" cm="1">
        <f t="array" ref="H54">_xlfn.LET(
  _xlpm.s, SUBSTITUTE(SUBSTITUTE(TRIM(G54),"'",""),"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55" spans="1:8">
      <c r="A55">
        <v>555000</v>
      </c>
      <c r="B55">
        <v>1</v>
      </c>
      <c r="C55">
        <v>0</v>
      </c>
      <c r="D55" s="33" t="s">
        <v>211</v>
      </c>
      <c r="E55">
        <v>101010</v>
      </c>
      <c r="F55">
        <v>7</v>
      </c>
      <c r="G55" s="33" t="s">
        <v>224</v>
      </c>
      <c r="H55" s="9" t="str" cm="1">
        <f t="array" ref="H55">_xlfn.LET(
  _xlpm.s, SUBSTITUTE(SUBSTITUTE(TRIM(G55),"'",""),"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00006A</v>
      </c>
    </row>
    <row r="56" spans="1:8">
      <c r="A56">
        <v>565000</v>
      </c>
      <c r="B56">
        <v>1</v>
      </c>
      <c r="C56">
        <v>0</v>
      </c>
      <c r="D56" s="33" t="s">
        <v>211</v>
      </c>
      <c r="E56">
        <v>101010</v>
      </c>
      <c r="F56">
        <v>9</v>
      </c>
      <c r="G56" s="33" t="s">
        <v>229</v>
      </c>
      <c r="H56" s="9" t="str" cm="1">
        <f t="array" ref="H56">_xlfn.LET(
  _xlpm.s, SUBSTITUTE(SUBSTITUTE(TRIM(G56),"'",""),"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000099</v>
      </c>
    </row>
    <row r="57" spans="1:8">
      <c r="A57">
        <v>575000</v>
      </c>
      <c r="B57">
        <v>1</v>
      </c>
      <c r="C57">
        <v>0</v>
      </c>
      <c r="D57" s="33" t="s">
        <v>211</v>
      </c>
      <c r="E57">
        <v>101010</v>
      </c>
      <c r="F57">
        <v>8</v>
      </c>
      <c r="G57" s="33" t="s">
        <v>215</v>
      </c>
      <c r="H57" s="9" t="str" cm="1">
        <f t="array" ref="H57">_xlfn.LET(
  _xlpm.s, SUBSTITUTE(SUBSTITUTE(TRIM(G57),"'",""),"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002C00</v>
      </c>
    </row>
    <row r="58" spans="1:8">
      <c r="A58">
        <v>585000</v>
      </c>
      <c r="B58">
        <v>1</v>
      </c>
      <c r="C58">
        <v>0</v>
      </c>
      <c r="D58" s="33" t="s">
        <v>211</v>
      </c>
      <c r="E58">
        <v>110010</v>
      </c>
      <c r="F58">
        <v>0</v>
      </c>
      <c r="G58" s="33" t="s">
        <v>212</v>
      </c>
      <c r="H58" s="9" t="str" cm="1">
        <f t="array" ref="H58">_xlfn.LET(
  _xlpm.s, SUBSTITUTE(SUBSTITUTE(TRIM(G58),"'",""),"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59" spans="1:8">
      <c r="A59">
        <v>595000</v>
      </c>
      <c r="B59">
        <v>1</v>
      </c>
      <c r="C59">
        <v>0</v>
      </c>
      <c r="D59" s="33" t="s">
        <v>211</v>
      </c>
      <c r="E59">
        <v>110010</v>
      </c>
      <c r="F59">
        <v>1</v>
      </c>
      <c r="G59" s="33" t="s">
        <v>213</v>
      </c>
      <c r="H59" s="9" t="str" cm="1">
        <f t="array" ref="H59">_xlfn.LET(
  _xlpm.s, SUBSTITUTE(SUBSTITUTE(TRIM(G59),"'",""),"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60" spans="1:8">
      <c r="A60">
        <v>605000</v>
      </c>
      <c r="B60">
        <v>1</v>
      </c>
      <c r="C60">
        <v>0</v>
      </c>
      <c r="D60" s="33" t="s">
        <v>211</v>
      </c>
      <c r="E60">
        <v>110010</v>
      </c>
      <c r="F60">
        <v>10</v>
      </c>
      <c r="G60" s="33" t="s">
        <v>230</v>
      </c>
      <c r="H60" s="9" t="str" cm="1">
        <f t="array" ref="H60">_xlfn.LET(
  _xlpm.s, SUBSTITUTE(SUBSTITUTE(TRIM(G60),"'",""),"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000359</v>
      </c>
    </row>
    <row r="61" spans="1:8">
      <c r="A61">
        <v>615000</v>
      </c>
      <c r="B61">
        <v>1</v>
      </c>
      <c r="C61">
        <v>0</v>
      </c>
      <c r="D61" s="33" t="s">
        <v>211</v>
      </c>
      <c r="E61">
        <v>110010</v>
      </c>
      <c r="F61">
        <v>11</v>
      </c>
      <c r="G61" s="33" t="s">
        <v>231</v>
      </c>
      <c r="H61" s="9" t="str" cm="1">
        <f t="array" ref="H61">_xlfn.LET(
  _xlpm.s, SUBSTITUTE(SUBSTITUTE(TRIM(G61),"'",""),"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002459</v>
      </c>
    </row>
    <row r="62" spans="1:8">
      <c r="A62">
        <v>625000</v>
      </c>
      <c r="B62">
        <v>1</v>
      </c>
      <c r="C62">
        <v>0</v>
      </c>
      <c r="D62" s="33" t="s">
        <v>211</v>
      </c>
      <c r="E62">
        <v>110010</v>
      </c>
      <c r="F62">
        <v>12</v>
      </c>
      <c r="G62" s="33" t="s">
        <v>232</v>
      </c>
      <c r="H62" s="9" t="str" cm="1">
        <f t="array" ref="H62">_xlfn.LET(
  _xlpm.s, SUBSTITUTE(SUBSTITUTE(TRIM(G62),"'",""),"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003C00</v>
      </c>
    </row>
    <row r="63" spans="1:8">
      <c r="A63">
        <v>635000</v>
      </c>
      <c r="B63">
        <v>1</v>
      </c>
      <c r="C63">
        <v>0</v>
      </c>
      <c r="D63" s="33" t="s">
        <v>227</v>
      </c>
      <c r="E63" s="33" t="s">
        <v>211</v>
      </c>
      <c r="F63">
        <v>0</v>
      </c>
      <c r="G63" s="33" t="s">
        <v>212</v>
      </c>
      <c r="H63" s="9" t="str" cm="1">
        <f t="array" ref="H63">_xlfn.LET(
  _xlpm.s, SUBSTITUTE(SUBSTITUTE(TRIM(G63),"'",""),"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64" spans="1:8">
      <c r="A64">
        <v>645000</v>
      </c>
      <c r="B64">
        <v>1</v>
      </c>
      <c r="C64">
        <v>0</v>
      </c>
      <c r="D64" s="33" t="s">
        <v>227</v>
      </c>
      <c r="E64" s="33" t="s">
        <v>211</v>
      </c>
      <c r="F64">
        <v>1</v>
      </c>
      <c r="G64" s="33" t="s">
        <v>213</v>
      </c>
      <c r="H64" s="9" t="str" cm="1">
        <f t="array" ref="H64">_xlfn.LET(
  _xlpm.s, SUBSTITUTE(SUBSTITUTE(TRIM(G64),"'",""),"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65" spans="1:8">
      <c r="A65">
        <v>655000</v>
      </c>
      <c r="B65">
        <v>1</v>
      </c>
      <c r="C65">
        <v>0</v>
      </c>
      <c r="D65" s="33" t="s">
        <v>227</v>
      </c>
      <c r="E65" s="33" t="s">
        <v>211</v>
      </c>
      <c r="F65">
        <v>7</v>
      </c>
      <c r="G65" s="33" t="s">
        <v>233</v>
      </c>
      <c r="H65" s="9" t="str" cm="1">
        <f t="array" ref="H65">_xlfn.LET(
  _xlpm.s, SUBSTITUTE(SUBSTITUTE(TRIM(G65),"'",""),"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000060</v>
      </c>
    </row>
    <row r="66" spans="1:8">
      <c r="A66">
        <v>665000</v>
      </c>
      <c r="B66">
        <v>1</v>
      </c>
      <c r="C66">
        <v>0</v>
      </c>
      <c r="D66" s="33" t="s">
        <v>227</v>
      </c>
      <c r="E66" s="33" t="s">
        <v>211</v>
      </c>
      <c r="F66">
        <v>8</v>
      </c>
      <c r="G66" s="33" t="s">
        <v>234</v>
      </c>
      <c r="H66" s="9" t="str" cm="1">
        <f t="array" ref="H66">_xlfn.LET(
  _xlpm.s, SUBSTITUTE(SUBSTITUTE(TRIM(G66),"'",""),"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002400</v>
      </c>
    </row>
    <row r="67" spans="1:8">
      <c r="A67">
        <v>675000</v>
      </c>
      <c r="B67">
        <v>1</v>
      </c>
      <c r="C67">
        <v>0</v>
      </c>
      <c r="D67" s="33" t="s">
        <v>235</v>
      </c>
      <c r="E67" s="33" t="s">
        <v>211</v>
      </c>
      <c r="F67">
        <v>0</v>
      </c>
      <c r="G67" s="33" t="s">
        <v>212</v>
      </c>
      <c r="H67" s="9" t="str" cm="1">
        <f t="array" ref="H67">_xlfn.LET(
  _xlpm.s, SUBSTITUTE(SUBSTITUTE(TRIM(G67),"'",""),"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68" spans="1:8">
      <c r="A68">
        <v>685000</v>
      </c>
      <c r="B68">
        <v>1</v>
      </c>
      <c r="C68">
        <v>0</v>
      </c>
      <c r="D68" s="33" t="s">
        <v>235</v>
      </c>
      <c r="E68" s="33" t="s">
        <v>211</v>
      </c>
      <c r="F68">
        <v>1</v>
      </c>
      <c r="G68" s="33" t="s">
        <v>213</v>
      </c>
      <c r="H68" s="9" t="str" cm="1">
        <f t="array" ref="H68">_xlfn.LET(
  _xlpm.s, SUBSTITUTE(SUBSTITUTE(TRIM(G68),"'",""),"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69" spans="1:8">
      <c r="A69">
        <v>695000</v>
      </c>
      <c r="B69">
        <v>1</v>
      </c>
      <c r="C69">
        <v>0</v>
      </c>
      <c r="D69" s="33" t="s">
        <v>235</v>
      </c>
      <c r="E69" s="33" t="s">
        <v>211</v>
      </c>
      <c r="F69">
        <v>7</v>
      </c>
      <c r="G69" s="33" t="s">
        <v>236</v>
      </c>
      <c r="H69" s="9" t="str" cm="1">
        <f t="array" ref="H69">_xlfn.LET(
  _xlpm.s, SUBSTITUTE(SUBSTITUTE(TRIM(G69),"'",""),"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000064</v>
      </c>
    </row>
    <row r="70" spans="1:8">
      <c r="A70">
        <v>705000</v>
      </c>
      <c r="B70">
        <v>1</v>
      </c>
      <c r="C70">
        <v>0</v>
      </c>
      <c r="D70" s="33" t="s">
        <v>235</v>
      </c>
      <c r="E70" s="33" t="s">
        <v>211</v>
      </c>
      <c r="F70">
        <v>8</v>
      </c>
      <c r="G70" s="33" t="s">
        <v>234</v>
      </c>
      <c r="H70" s="9" t="str" cm="1">
        <f t="array" ref="H70">_xlfn.LET(
  _xlpm.s, SUBSTITUTE(SUBSTITUTE(TRIM(G70),"'",""),"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002400</v>
      </c>
    </row>
    <row r="71" spans="1:8">
      <c r="A71">
        <v>715000</v>
      </c>
      <c r="B71">
        <v>1</v>
      </c>
      <c r="C71">
        <v>0</v>
      </c>
      <c r="D71" s="33" t="s">
        <v>228</v>
      </c>
      <c r="E71" s="33" t="s">
        <v>211</v>
      </c>
      <c r="F71">
        <v>0</v>
      </c>
      <c r="G71" s="33" t="s">
        <v>212</v>
      </c>
      <c r="H71" s="9" t="str" cm="1">
        <f t="array" ref="H71">_xlfn.LET(
  _xlpm.s, SUBSTITUTE(SUBSTITUTE(TRIM(G71),"'",""),"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72" spans="1:8">
      <c r="A72">
        <v>725000</v>
      </c>
      <c r="B72">
        <v>1</v>
      </c>
      <c r="C72">
        <v>0</v>
      </c>
      <c r="D72" s="33" t="s">
        <v>228</v>
      </c>
      <c r="E72" s="33" t="s">
        <v>211</v>
      </c>
      <c r="F72">
        <v>1</v>
      </c>
      <c r="G72" s="33" t="s">
        <v>213</v>
      </c>
      <c r="H72" s="9" t="str" cm="1">
        <f t="array" ref="H72">_xlfn.LET(
  _xlpm.s, SUBSTITUTE(SUBSTITUTE(TRIM(G72),"'",""),"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73" spans="1:8">
      <c r="A73">
        <v>735000</v>
      </c>
      <c r="B73">
        <v>1</v>
      </c>
      <c r="C73">
        <v>0</v>
      </c>
      <c r="D73" s="33" t="s">
        <v>228</v>
      </c>
      <c r="E73" s="33" t="s">
        <v>211</v>
      </c>
      <c r="F73">
        <v>7</v>
      </c>
      <c r="G73" s="33" t="s">
        <v>237</v>
      </c>
      <c r="H73" s="9" t="str" cm="1">
        <f t="array" ref="H73">_xlfn.LET(
  _xlpm.s, SUBSTITUTE(SUBSTITUTE(TRIM(G73),"'",""),"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000061</v>
      </c>
    </row>
    <row r="74" spans="1:8">
      <c r="A74">
        <v>745000</v>
      </c>
      <c r="B74">
        <v>1</v>
      </c>
      <c r="C74">
        <v>0</v>
      </c>
      <c r="D74" s="33" t="s">
        <v>228</v>
      </c>
      <c r="E74" s="33" t="s">
        <v>211</v>
      </c>
      <c r="F74">
        <v>8</v>
      </c>
      <c r="G74" s="33" t="s">
        <v>234</v>
      </c>
      <c r="H74" s="9" t="str" cm="1">
        <f t="array" ref="H74">_xlfn.LET(
  _xlpm.s, SUBSTITUTE(SUBSTITUTE(TRIM(G74),"'",""),"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002400</v>
      </c>
    </row>
    <row r="75" spans="1:8">
      <c r="A75">
        <v>755000</v>
      </c>
      <c r="B75">
        <v>1</v>
      </c>
      <c r="C75">
        <v>0</v>
      </c>
      <c r="D75" s="33" t="s">
        <v>238</v>
      </c>
      <c r="E75" s="33" t="s">
        <v>211</v>
      </c>
      <c r="F75">
        <v>0</v>
      </c>
      <c r="G75" s="33" t="s">
        <v>212</v>
      </c>
      <c r="H75" s="9" t="str" cm="1">
        <f t="array" ref="H75">_xlfn.LET(
  _xlpm.s, SUBSTITUTE(SUBSTITUTE(TRIM(G75),"'",""),"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76" spans="1:8">
      <c r="A76">
        <v>765000</v>
      </c>
      <c r="B76">
        <v>1</v>
      </c>
      <c r="C76">
        <v>0</v>
      </c>
      <c r="D76" s="33" t="s">
        <v>238</v>
      </c>
      <c r="E76" s="33" t="s">
        <v>211</v>
      </c>
      <c r="F76">
        <v>1</v>
      </c>
      <c r="G76" s="33" t="s">
        <v>213</v>
      </c>
      <c r="H76" s="9" t="str" cm="1">
        <f t="array" ref="H76">_xlfn.LET(
  _xlpm.s, SUBSTITUTE(SUBSTITUTE(TRIM(G76),"'",""),"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77" spans="1:8">
      <c r="A77">
        <v>775000</v>
      </c>
      <c r="B77">
        <v>1</v>
      </c>
      <c r="C77">
        <v>0</v>
      </c>
      <c r="D77" s="33" t="s">
        <v>238</v>
      </c>
      <c r="E77" s="33" t="s">
        <v>211</v>
      </c>
      <c r="F77">
        <v>7</v>
      </c>
      <c r="G77" s="33" t="s">
        <v>239</v>
      </c>
      <c r="H77" s="9" t="str" cm="1">
        <f t="array" ref="H77">_xlfn.LET(
  _xlpm.s, SUBSTITUTE(SUBSTITUTE(TRIM(G77),"'",""),"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000065</v>
      </c>
    </row>
    <row r="78" spans="1:8">
      <c r="A78">
        <v>785000</v>
      </c>
      <c r="B78">
        <v>1</v>
      </c>
      <c r="C78">
        <v>0</v>
      </c>
      <c r="D78" s="33" t="s">
        <v>238</v>
      </c>
      <c r="E78" s="33" t="s">
        <v>211</v>
      </c>
      <c r="F78">
        <v>8</v>
      </c>
      <c r="G78" s="33" t="s">
        <v>234</v>
      </c>
      <c r="H78" s="9" t="str" cm="1">
        <f t="array" ref="H78">_xlfn.LET(
  _xlpm.s, SUBSTITUTE(SUBSTITUTE(TRIM(G78),"'",""),"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002400</v>
      </c>
    </row>
    <row r="79" spans="1:8">
      <c r="A79">
        <v>795000</v>
      </c>
      <c r="B79">
        <v>1</v>
      </c>
      <c r="C79">
        <v>0</v>
      </c>
      <c r="D79" s="33" t="s">
        <v>240</v>
      </c>
      <c r="E79" s="33" t="s">
        <v>211</v>
      </c>
      <c r="F79">
        <v>0</v>
      </c>
      <c r="G79" s="33" t="s">
        <v>212</v>
      </c>
      <c r="H79" s="9" t="str" cm="1">
        <f t="array" ref="H79">_xlfn.LET(
  _xlpm.s, SUBSTITUTE(SUBSTITUTE(TRIM(G79),"'",""),"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80" spans="1:8">
      <c r="A80">
        <v>805000</v>
      </c>
      <c r="B80">
        <v>1</v>
      </c>
      <c r="C80">
        <v>0</v>
      </c>
      <c r="D80" s="33" t="s">
        <v>240</v>
      </c>
      <c r="E80" s="33" t="s">
        <v>211</v>
      </c>
      <c r="F80">
        <v>1</v>
      </c>
      <c r="G80" s="33" t="s">
        <v>213</v>
      </c>
      <c r="H80" s="9" t="str" cm="1">
        <f t="array" ref="H80">_xlfn.LET(
  _xlpm.s, SUBSTITUTE(SUBSTITUTE(TRIM(G80),"'",""),"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81" spans="1:8">
      <c r="A81">
        <v>815000</v>
      </c>
      <c r="B81">
        <v>1</v>
      </c>
      <c r="C81">
        <v>0</v>
      </c>
      <c r="D81" s="33" t="s">
        <v>240</v>
      </c>
      <c r="E81" s="33" t="s">
        <v>211</v>
      </c>
      <c r="F81">
        <v>7</v>
      </c>
      <c r="G81" s="33" t="s">
        <v>241</v>
      </c>
      <c r="H81" s="9" t="str" cm="1">
        <f t="array" ref="H81">_xlfn.LET(
  _xlpm.s, SUBSTITUTE(SUBSTITUTE(TRIM(G81),"'",""),"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000069</v>
      </c>
    </row>
    <row r="82" spans="1:8">
      <c r="A82">
        <v>825000</v>
      </c>
      <c r="B82">
        <v>1</v>
      </c>
      <c r="C82">
        <v>0</v>
      </c>
      <c r="D82" s="33" t="s">
        <v>240</v>
      </c>
      <c r="E82" s="33" t="s">
        <v>211</v>
      </c>
      <c r="F82">
        <v>8</v>
      </c>
      <c r="G82" s="33" t="s">
        <v>234</v>
      </c>
      <c r="H82" s="9" t="str" cm="1">
        <f t="array" ref="H82">_xlfn.LET(
  _xlpm.s, SUBSTITUTE(SUBSTITUTE(TRIM(G82),"'",""),"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002400</v>
      </c>
    </row>
    <row r="83" spans="1:8">
      <c r="A83">
        <v>835000</v>
      </c>
      <c r="B83">
        <v>1</v>
      </c>
      <c r="C83">
        <v>0</v>
      </c>
      <c r="D83">
        <v>100011</v>
      </c>
      <c r="E83" s="33" t="s">
        <v>211</v>
      </c>
      <c r="F83">
        <v>0</v>
      </c>
      <c r="G83" s="33" t="s">
        <v>212</v>
      </c>
      <c r="H83" s="9" t="str" cm="1">
        <f t="array" ref="H83">_xlfn.LET(
  _xlpm.s, SUBSTITUTE(SUBSTITUTE(TRIM(G83),"'",""),"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84" spans="1:8">
      <c r="A84">
        <v>845000</v>
      </c>
      <c r="B84">
        <v>1</v>
      </c>
      <c r="C84">
        <v>0</v>
      </c>
      <c r="D84">
        <v>100011</v>
      </c>
      <c r="E84" s="33" t="s">
        <v>211</v>
      </c>
      <c r="F84">
        <v>1</v>
      </c>
      <c r="G84" s="33" t="s">
        <v>213</v>
      </c>
      <c r="H84" s="9" t="str" cm="1">
        <f t="array" ref="H84">_xlfn.LET(
  _xlpm.s, SUBSTITUTE(SUBSTITUTE(TRIM(G84),"'",""),"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85" spans="1:8">
      <c r="A85">
        <v>855000</v>
      </c>
      <c r="B85">
        <v>1</v>
      </c>
      <c r="C85">
        <v>0</v>
      </c>
      <c r="D85">
        <v>100011</v>
      </c>
      <c r="E85" s="33" t="s">
        <v>211</v>
      </c>
      <c r="F85">
        <v>2</v>
      </c>
      <c r="G85" s="33" t="s">
        <v>233</v>
      </c>
      <c r="H85" s="9" t="str" cm="1">
        <f t="array" ref="H85">_xlfn.LET(
  _xlpm.s, SUBSTITUTE(SUBSTITUTE(TRIM(G85),"'",""),"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000060</v>
      </c>
    </row>
    <row r="86" spans="1:8">
      <c r="A86">
        <v>865000</v>
      </c>
      <c r="B86">
        <v>1</v>
      </c>
      <c r="C86">
        <v>0</v>
      </c>
      <c r="D86">
        <v>100011</v>
      </c>
      <c r="E86" s="33" t="s">
        <v>211</v>
      </c>
      <c r="F86">
        <v>3</v>
      </c>
      <c r="G86" s="33" t="s">
        <v>242</v>
      </c>
      <c r="H86" s="9" t="str" cm="1">
        <f t="array" ref="H86">_xlfn.LET(
  _xlpm.s, SUBSTITUTE(SUBSTITUTE(TRIM(G86),"'",""),"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030000</v>
      </c>
    </row>
    <row r="87" spans="1:8">
      <c r="A87">
        <v>875000</v>
      </c>
      <c r="B87">
        <v>1</v>
      </c>
      <c r="C87">
        <v>0</v>
      </c>
      <c r="D87">
        <v>100011</v>
      </c>
      <c r="E87" s="33" t="s">
        <v>211</v>
      </c>
      <c r="F87">
        <v>4</v>
      </c>
      <c r="G87" s="33" t="s">
        <v>243</v>
      </c>
      <c r="H87" s="9" t="str" cm="1">
        <f t="array" ref="H87">_xlfn.LET(
  _xlpm.s, SUBSTITUTE(SUBSTITUTE(TRIM(G87),"'",""),"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002000</v>
      </c>
    </row>
    <row r="88" spans="1:8">
      <c r="A88">
        <v>885000</v>
      </c>
      <c r="B88">
        <v>1</v>
      </c>
      <c r="C88">
        <v>0</v>
      </c>
      <c r="D88">
        <v>101011</v>
      </c>
      <c r="E88" s="33" t="s">
        <v>211</v>
      </c>
      <c r="F88">
        <v>0</v>
      </c>
      <c r="G88" s="33" t="s">
        <v>212</v>
      </c>
      <c r="H88" s="9" t="str" cm="1">
        <f t="array" ref="H88">_xlfn.LET(
  _xlpm.s, SUBSTITUTE(SUBSTITUTE(TRIM(G88),"'",""),"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89" spans="1:8">
      <c r="A89">
        <v>895000</v>
      </c>
      <c r="B89">
        <v>1</v>
      </c>
      <c r="C89">
        <v>0</v>
      </c>
      <c r="D89">
        <v>101011</v>
      </c>
      <c r="E89" s="33" t="s">
        <v>211</v>
      </c>
      <c r="F89">
        <v>1</v>
      </c>
      <c r="G89" s="33" t="s">
        <v>213</v>
      </c>
      <c r="H89" s="9" t="str" cm="1">
        <f t="array" ref="H89">_xlfn.LET(
  _xlpm.s, SUBSTITUTE(SUBSTITUTE(TRIM(G89),"'",""),"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90" spans="1:8">
      <c r="A90">
        <v>905000</v>
      </c>
      <c r="B90">
        <v>1</v>
      </c>
      <c r="C90">
        <v>0</v>
      </c>
      <c r="D90">
        <v>101011</v>
      </c>
      <c r="E90" s="33" t="s">
        <v>211</v>
      </c>
      <c r="F90">
        <v>2</v>
      </c>
      <c r="G90" s="33" t="s">
        <v>233</v>
      </c>
      <c r="H90" s="9" t="str" cm="1">
        <f t="array" ref="H90">_xlfn.LET(
  _xlpm.s, SUBSTITUTE(SUBSTITUTE(TRIM(G90),"'",""),"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000060</v>
      </c>
    </row>
    <row r="91" spans="1:8">
      <c r="A91">
        <v>915000</v>
      </c>
      <c r="B91">
        <v>1</v>
      </c>
      <c r="C91">
        <v>0</v>
      </c>
      <c r="D91">
        <v>101011</v>
      </c>
      <c r="E91" s="33" t="s">
        <v>211</v>
      </c>
      <c r="F91">
        <v>6</v>
      </c>
      <c r="G91" s="33" t="s">
        <v>244</v>
      </c>
      <c r="H91" s="9" t="str" cm="1">
        <f t="array" ref="H91">_xlfn.LET(
  _xlpm.s, SUBSTITUTE(SUBSTITUTE(TRIM(G91),"'",""),"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028000</v>
      </c>
    </row>
    <row r="92" spans="1:8">
      <c r="A92">
        <v>925000</v>
      </c>
      <c r="B92">
        <v>1</v>
      </c>
      <c r="C92">
        <v>0</v>
      </c>
      <c r="D92" s="33" t="s">
        <v>245</v>
      </c>
      <c r="E92" s="33" t="s">
        <v>211</v>
      </c>
      <c r="F92">
        <v>0</v>
      </c>
      <c r="G92" s="33" t="s">
        <v>212</v>
      </c>
      <c r="H92" s="9" t="str" cm="1">
        <f t="array" ref="H92">_xlfn.LET(
  _xlpm.s, SUBSTITUTE(SUBSTITUTE(TRIM(G92),"'",""),"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93" spans="1:8">
      <c r="A93">
        <v>935000</v>
      </c>
      <c r="B93">
        <v>1</v>
      </c>
      <c r="C93">
        <v>0</v>
      </c>
      <c r="D93" s="33" t="s">
        <v>245</v>
      </c>
      <c r="E93" s="33" t="s">
        <v>211</v>
      </c>
      <c r="F93">
        <v>1</v>
      </c>
      <c r="G93" s="33" t="s">
        <v>213</v>
      </c>
      <c r="H93" s="9" t="str" cm="1">
        <f t="array" ref="H93">_xlfn.LET(
  _xlpm.s, SUBSTITUTE(SUBSTITUTE(TRIM(G93),"'",""),"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94" spans="1:8">
      <c r="A94">
        <v>945000</v>
      </c>
      <c r="B94">
        <v>1</v>
      </c>
      <c r="C94">
        <v>0</v>
      </c>
      <c r="D94" s="33" t="s">
        <v>245</v>
      </c>
      <c r="E94" s="33" t="s">
        <v>211</v>
      </c>
      <c r="F94">
        <v>5</v>
      </c>
      <c r="G94" t="s">
        <v>264</v>
      </c>
      <c r="H94" s="9" t="e" cm="1">
        <f t="array" ref="H94">_xlfn.LET(
  _xlpm.s, SUBSTITUTE(SUBSTITUTE(TRIM(G94),"'",""),"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#NUM!</v>
      </c>
    </row>
    <row r="95" spans="1:8">
      <c r="A95">
        <v>955000</v>
      </c>
      <c r="B95">
        <v>1</v>
      </c>
      <c r="C95">
        <v>0</v>
      </c>
      <c r="D95" s="33" t="s">
        <v>246</v>
      </c>
      <c r="E95" s="33" t="s">
        <v>211</v>
      </c>
      <c r="F95">
        <v>0</v>
      </c>
      <c r="G95" s="33" t="s">
        <v>212</v>
      </c>
      <c r="H95" s="9" t="str" cm="1">
        <f t="array" ref="H95">_xlfn.LET(
  _xlpm.s, SUBSTITUTE(SUBSTITUTE(TRIM(G95),"'",""),"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96" spans="1:8">
      <c r="A96">
        <v>965000</v>
      </c>
      <c r="B96">
        <v>1</v>
      </c>
      <c r="C96">
        <v>0</v>
      </c>
      <c r="D96" s="33" t="s">
        <v>246</v>
      </c>
      <c r="E96" s="33" t="s">
        <v>211</v>
      </c>
      <c r="F96">
        <v>1</v>
      </c>
      <c r="G96" s="33" t="s">
        <v>213</v>
      </c>
      <c r="H96" s="9" t="str" cm="1">
        <f t="array" ref="H96">_xlfn.LET(
  _xlpm.s, SUBSTITUTE(SUBSTITUTE(TRIM(G96),"'",""),"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000030</v>
      </c>
    </row>
    <row r="97" spans="1:8">
      <c r="A97">
        <v>975000</v>
      </c>
      <c r="B97">
        <v>1</v>
      </c>
      <c r="C97">
        <v>0</v>
      </c>
      <c r="D97" s="33" t="s">
        <v>246</v>
      </c>
      <c r="E97" s="33" t="s">
        <v>211</v>
      </c>
      <c r="F97">
        <v>5</v>
      </c>
      <c r="G97" t="s">
        <v>265</v>
      </c>
      <c r="H97" s="9" t="e" cm="1">
        <f t="array" ref="H97">_xlfn.LET(
  _xlpm.s, SUBSTITUTE(SUBSTITUTE(TRIM(G97),"'",""),"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#NUM!</v>
      </c>
    </row>
    <row r="98" spans="1:8">
      <c r="A98">
        <v>985000</v>
      </c>
      <c r="B98">
        <v>1</v>
      </c>
      <c r="C98">
        <v>0</v>
      </c>
      <c r="D98" s="33" t="s">
        <v>223</v>
      </c>
      <c r="E98" s="33" t="s">
        <v>211</v>
      </c>
      <c r="F98">
        <v>0</v>
      </c>
      <c r="G98" s="33" t="s">
        <v>212</v>
      </c>
      <c r="H98" s="9" t="str" cm="1">
        <f t="array" ref="H98">_xlfn.LET(
  _xlpm.s, SUBSTITUTE(SUBSTITUTE(TRIM(G98),"'",""),"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99" spans="1:8">
      <c r="A99">
        <v>995000</v>
      </c>
      <c r="B99">
        <v>1</v>
      </c>
      <c r="C99">
        <v>0</v>
      </c>
      <c r="D99" s="33" t="s">
        <v>223</v>
      </c>
      <c r="E99" s="33" t="s">
        <v>211</v>
      </c>
      <c r="F99">
        <v>1</v>
      </c>
      <c r="G99" s="33" t="s">
        <v>266</v>
      </c>
      <c r="H99" s="9" t="str" cm="1">
        <f t="array" ref="H99">_xlfn.LET(
  _xlpm.s, SUBSTITUTE(SUBSTITUTE(TRIM(G99),"'",""),"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040030</v>
      </c>
    </row>
    <row r="100" spans="1:8">
      <c r="A100">
        <v>1005000</v>
      </c>
      <c r="B100">
        <v>1</v>
      </c>
      <c r="C100">
        <v>0</v>
      </c>
      <c r="D100" s="33" t="s">
        <v>225</v>
      </c>
      <c r="E100" s="33" t="s">
        <v>211</v>
      </c>
      <c r="F100">
        <v>0</v>
      </c>
      <c r="G100" s="33" t="s">
        <v>212</v>
      </c>
      <c r="H100" s="9" t="str" cm="1">
        <f t="array" ref="H100">_xlfn.LET(
  _xlpm.s, SUBSTITUTE(SUBSTITUTE(TRIM(G100),"'",""),"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101" spans="1:8">
      <c r="A101">
        <v>1015000</v>
      </c>
      <c r="B101">
        <v>1</v>
      </c>
      <c r="C101">
        <v>0</v>
      </c>
      <c r="D101" s="33" t="s">
        <v>225</v>
      </c>
      <c r="E101" s="33" t="s">
        <v>211</v>
      </c>
      <c r="F101">
        <v>1</v>
      </c>
      <c r="G101" s="33" t="s">
        <v>271</v>
      </c>
      <c r="H101" s="9" t="str" cm="1">
        <f t="array" ref="H101">_xlfn.LET(
  _xlpm.s, SUBSTITUTE(SUBSTITUTE(TRIM(G101),"'",""),"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043430</v>
      </c>
    </row>
    <row r="102" spans="1:8">
      <c r="A102">
        <v>1025000</v>
      </c>
      <c r="B102">
        <v>1</v>
      </c>
      <c r="C102">
        <v>0</v>
      </c>
      <c r="D102" s="33" t="s">
        <v>225</v>
      </c>
      <c r="E102" s="33" t="s">
        <v>211</v>
      </c>
      <c r="F102">
        <v>0</v>
      </c>
      <c r="G102" s="33" t="s">
        <v>212</v>
      </c>
      <c r="H102" s="9" t="str" cm="1">
        <f t="array" ref="H102">_xlfn.LET(
  _xlpm.s, SUBSTITUTE(SUBSTITUTE(TRIM(G102),"'",""),"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  <row r="103" spans="1:8">
      <c r="A103">
        <v>1035000</v>
      </c>
      <c r="B103">
        <v>1</v>
      </c>
      <c r="C103">
        <v>0</v>
      </c>
      <c r="D103" s="33" t="s">
        <v>225</v>
      </c>
      <c r="E103" s="33" t="s">
        <v>211</v>
      </c>
      <c r="F103">
        <v>1</v>
      </c>
      <c r="G103" s="33" t="s">
        <v>271</v>
      </c>
      <c r="H103" s="9" t="str" cm="1">
        <f t="array" ref="H103">_xlfn.LET(
  _xlpm.s, SUBSTITUTE(SUBSTITUTE(TRIM(G103),"'",""),"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043430</v>
      </c>
    </row>
    <row r="104" spans="1:8">
      <c r="A104">
        <v>1045000</v>
      </c>
      <c r="B104">
        <v>1</v>
      </c>
      <c r="C104">
        <v>0</v>
      </c>
      <c r="D104" s="33" t="s">
        <v>225</v>
      </c>
      <c r="E104" s="33" t="s">
        <v>211</v>
      </c>
      <c r="F104">
        <v>0</v>
      </c>
      <c r="G104" s="33" t="s">
        <v>212</v>
      </c>
      <c r="H104" s="9" t="str" cm="1">
        <f t="array" ref="H104">_xlfn.LET(
  _xlpm.s, SUBSTITUTE(SUBSTITUTE(TRIM(G104),"'","")," ",""),
  _xlpm.n, LEN(_xlpm.s),
  _xlpm.p, MOD(4-MOD(_xlpm.n,4),4),
  _xlpm.bs, REPT("0",_xlpm.p)&amp;_xlpm.s,
  _xlpm.g, _xlfn.SEQUENCE(LEN(_xlpm.bs)/4),
  _xlfn.TEXTJOIN("", TRUE, _xlfn.MAP(_xlpm.g, _xlfn.LAMBDA(_xlpm.i, DEC2HEX(BIN2DEC(MID(_xlpm.bs,(_xlpm.i-1)*4+1,4))))))
)</f>
        <v>1D4000</v>
      </c>
    </row>
  </sheetData>
  <phoneticPr fontId="5" type="noConversion"/>
  <conditionalFormatting sqref="G2:J2 H2:H104">
    <cfRule type="cellIs" dxfId="25" priority="148" operator="equal">
      <formula>1</formula>
    </cfRule>
  </conditionalFormatting>
  <conditionalFormatting sqref="G2:J3">
    <cfRule type="containsText" dxfId="24" priority="3" operator="containsText" text="0">
      <formula>NOT(ISERROR(SEARCH("0",G2)))</formula>
    </cfRule>
  </conditionalFormatting>
  <conditionalFormatting sqref="G3:J3">
    <cfRule type="cellIs" dxfId="23" priority="4" operator="equal">
      <formula>1</formula>
    </cfRule>
  </conditionalFormatting>
  <conditionalFormatting sqref="H2:H104">
    <cfRule type="containsText" dxfId="22" priority="147" operator="containsText" text="0">
      <formula>NOT(ISERROR(SEARCH("0",H2)))</formula>
    </cfRule>
  </conditionalFormatting>
  <conditionalFormatting sqref="K4:N8">
    <cfRule type="containsText" dxfId="21" priority="1" operator="containsText" text="0">
      <formula>NOT(ISERROR(SEARCH("0",K4)))</formula>
    </cfRule>
    <cfRule type="cellIs" dxfId="20" priority="2" operator="equal">
      <formula>1</formula>
    </cfRule>
  </conditionalFormatting>
  <conditionalFormatting sqref="U34:W34 Y34:AB34 W35:W39">
    <cfRule type="cellIs" dxfId="19" priority="90" operator="equal">
      <formula>1</formula>
    </cfRule>
  </conditionalFormatting>
  <conditionalFormatting sqref="U40:W40">
    <cfRule type="containsText" dxfId="18" priority="49" operator="containsText" text="0">
      <formula>NOT(ISERROR(SEARCH("0",U40)))</formula>
    </cfRule>
    <cfRule type="cellIs" dxfId="17" priority="50" operator="equal">
      <formula>1</formula>
    </cfRule>
  </conditionalFormatting>
  <conditionalFormatting sqref="U41:W41">
    <cfRule type="containsText" dxfId="16" priority="29" operator="containsText" text="0">
      <formula>NOT(ISERROR(SEARCH("0",U41)))</formula>
    </cfRule>
    <cfRule type="cellIs" dxfId="15" priority="30" operator="equal">
      <formula>1</formula>
    </cfRule>
  </conditionalFormatting>
  <conditionalFormatting sqref="U22:AB33">
    <cfRule type="containsText" dxfId="14" priority="55" operator="containsText" text="0">
      <formula>NOT(ISERROR(SEARCH("0",U22)))</formula>
    </cfRule>
    <cfRule type="cellIs" dxfId="13" priority="56" operator="equal">
      <formula>1</formula>
    </cfRule>
  </conditionalFormatting>
  <conditionalFormatting sqref="U35:AB39">
    <cfRule type="containsText" dxfId="12" priority="59" operator="containsText" text="0">
      <formula>NOT(ISERROR(SEARCH("0",U35)))</formula>
    </cfRule>
    <cfRule type="cellIs" dxfId="11" priority="60" operator="equal">
      <formula>1</formula>
    </cfRule>
  </conditionalFormatting>
  <conditionalFormatting sqref="U42:AB42">
    <cfRule type="containsText" dxfId="10" priority="5" operator="containsText" text="0">
      <formula>NOT(ISERROR(SEARCH("0",U42)))</formula>
    </cfRule>
    <cfRule type="cellIs" dxfId="9" priority="6" operator="equal">
      <formula>1</formula>
    </cfRule>
  </conditionalFormatting>
  <conditionalFormatting sqref="W35:W39 U34:W34 Y34:AB34">
    <cfRule type="containsText" dxfId="8" priority="89" operator="containsText" text="0">
      <formula>NOT(ISERROR(SEARCH("0",U34)))</formula>
    </cfRule>
  </conditionalFormatting>
  <conditionalFormatting sqref="W41:X41">
    <cfRule type="containsText" dxfId="7" priority="25" operator="containsText" text="0">
      <formula>NOT(ISERROR(SEARCH("0",W41)))</formula>
    </cfRule>
    <cfRule type="cellIs" dxfId="6" priority="26" operator="equal">
      <formula>1</formula>
    </cfRule>
  </conditionalFormatting>
  <conditionalFormatting sqref="W40:AB40">
    <cfRule type="containsText" dxfId="5" priority="35" operator="containsText" text="0">
      <formula>NOT(ISERROR(SEARCH("0",W40)))</formula>
    </cfRule>
    <cfRule type="cellIs" dxfId="4" priority="36" operator="equal">
      <formula>1</formula>
    </cfRule>
  </conditionalFormatting>
  <conditionalFormatting sqref="X34:X40">
    <cfRule type="containsText" dxfId="3" priority="45" operator="containsText" text="0">
      <formula>NOT(ISERROR(SEARCH("0",X34)))</formula>
    </cfRule>
    <cfRule type="cellIs" dxfId="2" priority="46" operator="equal">
      <formula>1</formula>
    </cfRule>
  </conditionalFormatting>
  <conditionalFormatting sqref="X41:AB41">
    <cfRule type="containsText" dxfId="1" priority="15" operator="containsText" text="0">
      <formula>NOT(ISERROR(SEARCH("0",X41)))</formula>
    </cfRule>
    <cfRule type="cellIs" dxfId="0" priority="16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B3468B-3573-4528-AAC1-5808D9571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State</vt:lpstr>
      <vt:lpstr>ControlBits</vt:lpstr>
      <vt:lpstr>ControlBits_Tb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송상윤</dc:creator>
  <cp:lastModifiedBy>송상윤</cp:lastModifiedBy>
  <dcterms:created xsi:type="dcterms:W3CDTF">2025-11-06T09:52:11Z</dcterms:created>
  <dcterms:modified xsi:type="dcterms:W3CDTF">2025-11-11T12:06:11Z</dcterms:modified>
</cp:coreProperties>
</file>